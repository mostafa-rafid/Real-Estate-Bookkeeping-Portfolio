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amp; Portfolio Guide" sheetId="1" state="visible" r:id="rId1"/>
    <sheet xmlns:r="http://schemas.openxmlformats.org/officeDocument/2006/relationships" name="Chart of Accounts" sheetId="2" state="visible" r:id="rId2"/>
    <sheet xmlns:r="http://schemas.openxmlformats.org/officeDocument/2006/relationships" name="Property Acquisition &amp; Sale" sheetId="3" state="visible" r:id="rId3"/>
    <sheet xmlns:r="http://schemas.openxmlformats.org/officeDocument/2006/relationships" name="Checking Account Feed" sheetId="4" state="visible" r:id="rId4"/>
    <sheet xmlns:r="http://schemas.openxmlformats.org/officeDocument/2006/relationships" name="Credit Card Feed" sheetId="5" state="visible" r:id="rId5"/>
    <sheet xmlns:r="http://schemas.openxmlformats.org/officeDocument/2006/relationships" name="Rent Roll &amp; Tenant Ledger" sheetId="6" state="visible" r:id="rId6"/>
    <sheet xmlns:r="http://schemas.openxmlformats.org/officeDocument/2006/relationships" name="Target Financial Reports" sheetId="7" state="visible" r:id="rId7"/>
    <sheet xmlns:r="http://schemas.openxmlformats.org/officeDocument/2006/relationships" name="Key Performance Indicators" sheetId="8" state="visible" r:id="rId8"/>
  </sheets>
  <definedNames/>
  <calcPr calcId="124519" fullCalcOnLoad="1"/>
</workbook>
</file>

<file path=xl/styles.xml><?xml version="1.0" encoding="utf-8"?>
<styleSheet xmlns="http://schemas.openxmlformats.org/spreadsheetml/2006/main">
  <numFmts count="4">
    <numFmt numFmtId="164" formatCode="&quot;$&quot;#,##0"/>
    <numFmt numFmtId="165" formatCode="YYYY-MM-DD"/>
    <numFmt numFmtId="166" formatCode="0.0%"/>
    <numFmt numFmtId="167" formatCode="0.0x"/>
  </numFmts>
  <fonts count="11">
    <font>
      <name val="Calibri"/>
      <family val="2"/>
      <color theme="1"/>
      <sz val="11"/>
      <scheme val="minor"/>
    </font>
    <font>
      <name val="Calibri"/>
      <b val="1"/>
      <color rgb="001F4E79"/>
      <sz val="18"/>
    </font>
    <font>
      <name val="Calibri"/>
      <i val="1"/>
      <color rgb="00595959"/>
      <sz val="11"/>
    </font>
    <font>
      <name val="Calibri"/>
      <b val="1"/>
      <sz val="11"/>
    </font>
    <font>
      <name val="Calibri"/>
      <sz val="11"/>
    </font>
    <font>
      <name val="Calibri"/>
      <b val="1"/>
      <color rgb="00FFFFFF"/>
      <sz val="11"/>
    </font>
    <font>
      <name val="Calibri"/>
      <i val="1"/>
      <color rgb="00595959"/>
      <sz val="9"/>
    </font>
    <font>
      <name val="Calibri"/>
      <b val="1"/>
      <color rgb="001F4E79"/>
      <sz val="14"/>
    </font>
    <font>
      <name val="Calibri"/>
      <b val="1"/>
      <color rgb="002F5496"/>
      <sz val="16"/>
    </font>
    <font>
      <name val="Calibri"/>
      <color rgb="009C0006"/>
      <sz val="11"/>
    </font>
    <font>
      <name val="Calibri"/>
      <b val="1"/>
      <color rgb="009C0006"/>
      <sz val="11"/>
    </font>
  </fonts>
  <fills count="8">
    <fill>
      <patternFill/>
    </fill>
    <fill>
      <patternFill patternType="gray125"/>
    </fill>
    <fill>
      <patternFill patternType="solid">
        <fgColor rgb="002F5496"/>
        <bgColor rgb="002F5496"/>
      </patternFill>
    </fill>
    <fill>
      <patternFill patternType="solid">
        <fgColor rgb="00DCE6F1"/>
        <bgColor rgb="00DCE6F1"/>
      </patternFill>
    </fill>
    <fill>
      <patternFill patternType="solid">
        <fgColor rgb="00E2EFDA"/>
        <bgColor rgb="00E2EFDA"/>
      </patternFill>
    </fill>
    <fill>
      <patternFill patternType="solid">
        <fgColor rgb="00F2F2F2"/>
        <bgColor rgb="00F2F2F2"/>
      </patternFill>
    </fill>
    <fill>
      <patternFill patternType="solid">
        <fgColor rgb="004472C4"/>
        <bgColor rgb="004472C4"/>
      </patternFill>
    </fill>
    <fill>
      <patternFill patternType="solid">
        <fgColor rgb="00D6DCE4"/>
        <bgColor rgb="00D6DCE4"/>
      </patternFill>
    </fill>
  </fills>
  <borders count="5">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bottom style="medium">
        <color rgb="002F5496"/>
      </bottom>
    </border>
    <border>
      <top style="thin">
        <color rgb="00BFBFBF"/>
      </top>
      <bottom style="double">
        <color rgb="002F5496"/>
      </bottom>
    </border>
    <border>
      <top style="thin">
        <color rgb="00BFBFBF"/>
      </top>
      <bottom style="thin">
        <color rgb="00BFBFBF"/>
      </bottom>
    </border>
  </borders>
  <cellStyleXfs count="1">
    <xf numFmtId="0" fontId="0" fillId="0" borderId="0"/>
  </cellStyleXfs>
  <cellXfs count="6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5" fillId="2" borderId="1" applyAlignment="1" pivotButton="0" quotePrefix="0" xfId="0">
      <alignment horizontal="center" vertical="center"/>
    </xf>
    <xf numFmtId="0" fontId="4" fillId="3" borderId="1" applyAlignment="1" pivotButton="0" quotePrefix="0" xfId="0">
      <alignment horizontal="left" vertical="center"/>
    </xf>
    <xf numFmtId="0" fontId="6" fillId="3" borderId="1" applyAlignment="1" pivotButton="0" quotePrefix="0" xfId="0">
      <alignment horizontal="left" vertical="center"/>
    </xf>
    <xf numFmtId="0" fontId="4" fillId="4" borderId="1" applyAlignment="1" pivotButton="0" quotePrefix="0" xfId="0">
      <alignment horizontal="left" vertical="center"/>
    </xf>
    <xf numFmtId="0" fontId="6" fillId="4" borderId="1" applyAlignment="1" pivotButton="0" quotePrefix="0" xfId="0">
      <alignment horizontal="left" vertical="center"/>
    </xf>
    <xf numFmtId="0" fontId="4" fillId="5" borderId="1" applyAlignment="1" pivotButton="0" quotePrefix="0" xfId="0">
      <alignment horizontal="left" vertical="center"/>
    </xf>
    <xf numFmtId="0" fontId="6" fillId="5" borderId="1" applyAlignment="1" pivotButton="0" quotePrefix="0" xfId="0">
      <alignment horizontal="left" vertical="center"/>
    </xf>
    <xf numFmtId="0" fontId="5" fillId="6" borderId="1" applyAlignment="1" pivotButton="0" quotePrefix="0" xfId="0">
      <alignment horizontal="left" vertical="center"/>
    </xf>
    <xf numFmtId="0" fontId="6" fillId="6" borderId="1" applyAlignment="1" pivotButton="0" quotePrefix="0" xfId="0">
      <alignment horizontal="left" vertical="center"/>
    </xf>
    <xf numFmtId="0" fontId="4" fillId="6" borderId="1" applyAlignment="1" pivotButton="0" quotePrefix="0" xfId="0">
      <alignment horizontal="left" vertical="center"/>
    </xf>
    <xf numFmtId="0" fontId="5" fillId="2" borderId="1" applyAlignment="1" pivotButton="0" quotePrefix="0" xfId="0">
      <alignment horizontal="left" vertical="center"/>
    </xf>
    <xf numFmtId="0" fontId="6" fillId="2" borderId="1" applyAlignment="1" pivotButton="0" quotePrefix="0" xfId="0">
      <alignment horizontal="left" vertical="center"/>
    </xf>
    <xf numFmtId="0" fontId="4" fillId="2" borderId="1" applyAlignment="1" pivotButton="0" quotePrefix="0" xfId="0">
      <alignment horizontal="left" vertical="center"/>
    </xf>
    <xf numFmtId="0" fontId="7" fillId="0" borderId="0" pivotButton="0" quotePrefix="0" xfId="0"/>
    <xf numFmtId="0" fontId="4" fillId="0" borderId="0" applyAlignment="1" pivotButton="0" quotePrefix="0" xfId="0">
      <alignment horizontal="left" vertical="center" wrapText="1"/>
    </xf>
    <xf numFmtId="0" fontId="8" fillId="0" borderId="0" pivotButton="0" quotePrefix="0" xfId="0"/>
    <xf numFmtId="0" fontId="5" fillId="2" borderId="2"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horizontal="left" vertical="center"/>
    </xf>
    <xf numFmtId="0" fontId="4" fillId="0" borderId="1" applyAlignment="1" pivotButton="0" quotePrefix="0" xfId="0">
      <alignment horizontal="left" vertical="center" wrapText="1"/>
    </xf>
    <xf numFmtId="0" fontId="4" fillId="5" borderId="1" applyAlignment="1" pivotButton="0" quotePrefix="0" xfId="0">
      <alignment horizontal="center" vertical="center"/>
    </xf>
    <xf numFmtId="0" fontId="4" fillId="5" borderId="1" applyAlignment="1" pivotButton="0" quotePrefix="0" xfId="0">
      <alignment horizontal="left" vertical="center" wrapText="1"/>
    </xf>
    <xf numFmtId="0" fontId="5" fillId="6" borderId="0" applyAlignment="1" pivotButton="0" quotePrefix="0" xfId="0">
      <alignment horizontal="center" vertical="center"/>
    </xf>
    <xf numFmtId="164" fontId="4" fillId="0" borderId="1" applyAlignment="1" pivotButton="0" quotePrefix="0" xfId="0">
      <alignment horizontal="right" vertical="center"/>
    </xf>
    <xf numFmtId="0" fontId="4" fillId="0" borderId="1" applyAlignment="1" pivotButton="0" quotePrefix="0" xfId="0">
      <alignment horizontal="right" vertical="center"/>
    </xf>
    <xf numFmtId="0" fontId="4" fillId="5" borderId="1" applyAlignment="1" pivotButton="0" quotePrefix="0" xfId="0">
      <alignment horizontal="right" vertical="center"/>
    </xf>
    <xf numFmtId="164" fontId="4" fillId="5" borderId="1" applyAlignment="1" pivotButton="0" quotePrefix="0" xfId="0">
      <alignment horizontal="right" vertical="center"/>
    </xf>
    <xf numFmtId="0" fontId="3" fillId="7" borderId="3" applyAlignment="1" pivotButton="0" quotePrefix="0" xfId="0">
      <alignment horizontal="left" vertical="center"/>
    </xf>
    <xf numFmtId="0" fontId="3" fillId="7" borderId="3" applyAlignment="1" pivotButton="0" quotePrefix="0" xfId="0">
      <alignment horizontal="right" vertical="center"/>
    </xf>
    <xf numFmtId="0" fontId="6" fillId="7" borderId="3" applyAlignment="1" pivotButton="0" quotePrefix="0" xfId="0">
      <alignment horizontal="left" vertical="center"/>
    </xf>
    <xf numFmtId="0" fontId="3" fillId="7" borderId="3" pivotButton="0" quotePrefix="0" xfId="0"/>
    <xf numFmtId="0" fontId="0" fillId="7" borderId="3" pivotButton="0" quotePrefix="0" xfId="0"/>
    <xf numFmtId="164" fontId="3" fillId="7" borderId="3" applyAlignment="1" pivotButton="0" quotePrefix="0" xfId="0">
      <alignment horizontal="right" vertical="center"/>
    </xf>
    <xf numFmtId="0" fontId="3" fillId="7" borderId="4" applyAlignment="1" pivotButton="0" quotePrefix="0" xfId="0">
      <alignment horizontal="left" vertical="center"/>
    </xf>
    <xf numFmtId="0" fontId="3" fillId="7" borderId="4" applyAlignment="1" pivotButton="0" quotePrefix="0" xfId="0">
      <alignment horizontal="right" vertical="center"/>
    </xf>
    <xf numFmtId="165" fontId="4" fillId="0" borderId="1" applyAlignment="1" pivotButton="0" quotePrefix="0" xfId="0">
      <alignment horizontal="center" vertical="center"/>
    </xf>
    <xf numFmtId="165" fontId="4" fillId="5" borderId="1" applyAlignment="1" pivotButton="0" quotePrefix="0" xfId="0">
      <alignment horizontal="center" vertical="center"/>
    </xf>
    <xf numFmtId="164" fontId="9" fillId="0" borderId="1" applyAlignment="1" pivotButton="0" quotePrefix="0" xfId="0">
      <alignment horizontal="right" vertical="center"/>
    </xf>
    <xf numFmtId="164" fontId="9" fillId="5" borderId="1" applyAlignment="1" pivotButton="0" quotePrefix="0" xfId="0">
      <alignment horizontal="right" vertical="center"/>
    </xf>
    <xf numFmtId="0" fontId="3" fillId="0" borderId="1" applyAlignment="1" pivotButton="0" quotePrefix="0" xfId="0">
      <alignment horizontal="center" vertical="center"/>
    </xf>
    <xf numFmtId="0" fontId="3" fillId="5" borderId="1" applyAlignment="1" pivotButton="0" quotePrefix="0" xfId="0">
      <alignment horizontal="center" vertical="center"/>
    </xf>
    <xf numFmtId="0" fontId="10" fillId="5" borderId="1" applyAlignment="1" pivotButton="0" quotePrefix="0" xfId="0">
      <alignment horizontal="center" vertical="center"/>
    </xf>
    <xf numFmtId="0" fontId="3" fillId="5" borderId="0" applyAlignment="1" pivotButton="0" quotePrefix="0" xfId="0">
      <alignment horizontal="left" vertical="center"/>
    </xf>
    <xf numFmtId="0" fontId="4" fillId="0" borderId="0" applyAlignment="1" pivotButton="0" quotePrefix="0" xfId="0">
      <alignment horizontal="left" vertical="center"/>
    </xf>
    <xf numFmtId="164" fontId="4" fillId="0" borderId="0" applyAlignment="1" pivotButton="0" quotePrefix="0" xfId="0">
      <alignment horizontal="right" vertical="center"/>
    </xf>
    <xf numFmtId="164" fontId="3" fillId="7" borderId="4" applyAlignment="1" pivotButton="0" quotePrefix="0" xfId="0">
      <alignment horizontal="right" vertical="center"/>
    </xf>
    <xf numFmtId="0" fontId="6" fillId="0" borderId="0" pivotButton="0" quotePrefix="0" xfId="0"/>
    <xf numFmtId="0" fontId="4" fillId="0" borderId="0" applyAlignment="1" pivotButton="0" quotePrefix="0" xfId="0">
      <alignment horizontal="right" vertical="center"/>
    </xf>
    <xf numFmtId="0" fontId="5" fillId="2" borderId="3" applyAlignment="1" pivotButton="0" quotePrefix="0" xfId="0">
      <alignment horizontal="left" vertical="center"/>
    </xf>
    <xf numFmtId="164" fontId="5" fillId="2" borderId="3" applyAlignment="1" pivotButton="0" quotePrefix="0" xfId="0">
      <alignment horizontal="right" vertical="center"/>
    </xf>
    <xf numFmtId="0" fontId="3" fillId="0" borderId="1" applyAlignment="1" pivotButton="0" quotePrefix="0" xfId="0">
      <alignment horizontal="left" vertical="center"/>
    </xf>
    <xf numFmtId="164" fontId="3" fillId="4" borderId="1" applyAlignment="1" pivotButton="0" quotePrefix="0" xfId="0">
      <alignment horizontal="right" vertical="center"/>
    </xf>
    <xf numFmtId="0" fontId="3" fillId="5" borderId="1" applyAlignment="1" pivotButton="0" quotePrefix="0" xfId="0">
      <alignment horizontal="left" vertical="center"/>
    </xf>
    <xf numFmtId="166" fontId="3" fillId="4" borderId="1" applyAlignment="1" pivotButton="0" quotePrefix="0" xfId="0">
      <alignment horizontal="right" vertical="center"/>
    </xf>
    <xf numFmtId="2" fontId="3" fillId="4" borderId="1" applyAlignment="1" pivotButton="0" quotePrefix="0" xfId="0">
      <alignment horizontal="right" vertical="center"/>
    </xf>
    <xf numFmtId="167" fontId="3"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F36"/>
  <sheetViews>
    <sheetView showGridLines="0" workbookViewId="0">
      <selection activeCell="A1" sqref="A1"/>
    </sheetView>
  </sheetViews>
  <sheetFormatPr baseColWidth="8" defaultRowHeight="15"/>
  <cols>
    <col width="30" customWidth="1" min="1" max="1"/>
    <col width="15" customWidth="1" min="2" max="2"/>
    <col width="55" customWidth="1" min="3" max="3"/>
    <col width="15" customWidth="1" min="4" max="4"/>
    <col width="15" customWidth="1" min="5" max="5"/>
    <col width="15" customWidth="1" min="6" max="6"/>
  </cols>
  <sheetData>
    <row r="2">
      <c r="A2" s="1" t="inlineStr">
        <is>
          <t>Real Estate Bookkeeping Master Portfolio Dataset</t>
        </is>
      </c>
    </row>
    <row r="3">
      <c r="A3" s="2" t="inlineStr">
        <is>
          <t>A Comprehensive Dataset Spanning Property Acquisition, Monthly Rental Operations, Bank Feeds, Credit Cards, Property Disposal, and Financial Reporting.</t>
        </is>
      </c>
    </row>
    <row r="5">
      <c r="A5" s="3" t="inlineStr">
        <is>
          <t>Workbook Color Legend</t>
        </is>
      </c>
    </row>
    <row r="6">
      <c r="A6" s="4" t="inlineStr">
        <is>
          <t>Cell Style</t>
        </is>
      </c>
      <c r="B6" s="4" t="inlineStr">
        <is>
          <t>Hex Code</t>
        </is>
      </c>
      <c r="C6" s="4" t="inlineStr">
        <is>
          <t>Meaning / Usage</t>
        </is>
      </c>
    </row>
    <row r="7">
      <c r="A7" s="5" t="inlineStr">
        <is>
          <t>Input Cell (Editable)</t>
        </is>
      </c>
      <c r="B7" s="6" t="inlineStr">
        <is>
          <t>#DCE6F1</t>
        </is>
      </c>
      <c r="C7" s="5" t="inlineStr">
        <is>
          <t>Manual entries or assumptions the user/bookkeeper enters (e.g. initial parameters)</t>
        </is>
      </c>
    </row>
    <row r="8">
      <c r="A8" s="7" t="inlineStr">
        <is>
          <t>Calculated / Formula</t>
        </is>
      </c>
      <c r="B8" s="8" t="inlineStr">
        <is>
          <t>#E2EFDA</t>
        </is>
      </c>
      <c r="C8" s="7" t="inlineStr">
        <is>
          <t>Automatically computed values (e.g. totals, margins, ratios, answer keys)</t>
        </is>
      </c>
    </row>
    <row r="9">
      <c r="A9" s="9" t="inlineStr">
        <is>
          <t>Zebra Stripe / Background</t>
        </is>
      </c>
      <c r="B9" s="10" t="inlineStr">
        <is>
          <t>#F2F2F2</t>
        </is>
      </c>
      <c r="C9" s="9" t="inlineStr">
        <is>
          <t>To separate rows in large tables for readability</t>
        </is>
      </c>
    </row>
    <row r="10">
      <c r="A10" s="11" t="inlineStr">
        <is>
          <t>Section Headers</t>
        </is>
      </c>
      <c r="B10" s="12" t="inlineStr">
        <is>
          <t>#4472C4</t>
        </is>
      </c>
      <c r="C10" s="13" t="inlineStr">
        <is>
          <t>Start of a major functional block within the spreadsheet</t>
        </is>
      </c>
    </row>
    <row r="11">
      <c r="A11" s="14" t="inlineStr">
        <is>
          <t>Table Headers / Grand Totals</t>
        </is>
      </c>
      <c r="B11" s="15" t="inlineStr">
        <is>
          <t>#2F5496</t>
        </is>
      </c>
      <c r="C11" s="16" t="inlineStr">
        <is>
          <t>Primary column headers and grand total result lines</t>
        </is>
      </c>
    </row>
    <row r="13">
      <c r="A13" s="17" t="inlineStr">
        <is>
          <t>How to Use This Dataset for Your Bookkeeping Portfolio</t>
        </is>
      </c>
    </row>
    <row r="14">
      <c r="A14" s="3" t="inlineStr">
        <is>
          <t>Step 1: Understand the Scenario</t>
        </is>
      </c>
    </row>
    <row r="15" ht="40" customHeight="1">
      <c r="A15" s="18" t="inlineStr">
        <is>
          <t>You are the bookkeeper for a real estate investment firm that purchased a 4-unit residential building called '123 Maple Street Apartments' on January 15, 2026. After managing the property for six months, the owner decided to take advantage of market appreciation and sold the property on June 30, 2026. This compressed timeline lets you demonstrate standard monthly rental operations AND the complex, high-value transactions of property acquisition and property disposal.</t>
        </is>
      </c>
    </row>
    <row r="17">
      <c r="A17" s="3" t="inlineStr">
        <is>
          <t>Step 2: Import the Chart of Accounts</t>
        </is>
      </c>
    </row>
    <row r="18" ht="40" customHeight="1">
      <c r="A18" s="18" t="inlineStr">
        <is>
          <t>Use the 'Chart of Accounts' tab to build or import your accounts in QuickBooks Online (QBO). Real estate bookkeeping is unique because of the asset sub-ledgering structure (separating land from building and improvements) and the escrow/mortgage liability tracking. You can export that sheet as a CSV and import it into QBO.</t>
        </is>
      </c>
    </row>
    <row r="20">
      <c r="A20" s="3" t="inlineStr">
        <is>
          <t>Step 3: Book the Property Acquisition</t>
        </is>
      </c>
    </row>
    <row r="21" ht="40" customHeight="1">
      <c r="A21" s="18" t="inlineStr">
        <is>
          <t>Using the Closing Disclosure/Settlement Statement on the 'Property Acquisition &amp; Sale' tab, book the property purchase on January 15, 2026. This requires a Journal Entry that captures the purchase price, escrow closing costs, capitalized loan fees, seller tax credits, and the initial mortgage loan liability. Note how land must be separated as it does not depreciate.</t>
        </is>
      </c>
    </row>
    <row r="23">
      <c r="A23" s="3" t="inlineStr">
        <is>
          <t>Step 4: Import and Categorize Bank Feeds</t>
        </is>
      </c>
    </row>
    <row r="24" ht="40" customHeight="1">
      <c r="A24" s="18" t="inlineStr">
        <is>
          <t>The 'Checking Account Feed' and 'Credit Card Feed' tabs contain realistic transaction registries. You can save these sheets as CSV files and import them directly into QBO's bank feed tool. Work through the transactions to categorize them: allocate rental deposits to Rental Income, security deposits to Tenant Security Deposits (liability), property management fees, repairs, utility bills, and monthly mortgage payments (splitting principal and interest).</t>
        </is>
      </c>
    </row>
    <row r="26">
      <c r="A26" s="3" t="inlineStr">
        <is>
          <t>Step 5: Perform Bank Reconciliation</t>
        </is>
      </c>
    </row>
    <row r="27" ht="40" customHeight="1">
      <c r="A27" s="18" t="inlineStr">
        <is>
          <t>At the end of each month, reconcile the checking and credit card statements. Note that the Rent Roll tab serves as your supporting sub-ledger to confirm which tenants paid and which accounts are outstanding.</t>
        </is>
      </c>
    </row>
    <row r="29">
      <c r="A29" s="3" t="inlineStr">
        <is>
          <t>Step 6: Book the Property Sale &amp; Depreciation Recapture</t>
        </is>
      </c>
    </row>
    <row r="30" ht="40" customHeight="1">
      <c r="A30" s="18" t="inlineStr">
        <is>
          <t>On June 30, 2026, the property is sold. Book the sale using the details in the 'Property Acquisition &amp; Sale' tab. This involves writing off the fixed asset and accumulated depreciation, paying off the mortgage liability, and recording the resulting Capital Gain/Loss on Sale.</t>
        </is>
      </c>
    </row>
    <row r="32">
      <c r="A32" s="3" t="inlineStr">
        <is>
          <t>Step 7: Build Reports &amp; Compare to the Answer Key</t>
        </is>
      </c>
    </row>
    <row r="33" ht="40" customHeight="1">
      <c r="A33" s="18" t="inlineStr">
        <is>
          <t>Build your P&amp;L, Balance Sheet, and KPIs. Compare your QBO-generated reports to the 'Target Financial Reports' and 'Key Performance Indicators' tabs. If your books balance and match these tabs, your work is 100% accurate!</t>
        </is>
      </c>
    </row>
    <row r="35">
      <c r="A35" s="3" t="inlineStr">
        <is>
          <t>Step 8: Build Your Public Portfolio</t>
        </is>
      </c>
    </row>
    <row r="36" ht="40" customHeight="1">
      <c r="A36" s="18" t="inlineStr">
        <is>
          <t>Upload this workbook to your GitHub. Write a detailed Case Study on LinkedIn explaining how you handled the acquisition, monthly tracking, bank reconciliation, and sale. Post screenshots of your P&amp;L and Balance Sheet. This demonstrates to prospective real estate clients worldwide that you possess deep, specialized knowledge of real estate bookkeeping—far beyond generic data entry.</t>
        </is>
      </c>
    </row>
  </sheetData>
  <mergeCells count="8">
    <mergeCell ref="A24:F24"/>
    <mergeCell ref="A33:F33"/>
    <mergeCell ref="A30:F30"/>
    <mergeCell ref="A36:F36"/>
    <mergeCell ref="A27:F27"/>
    <mergeCell ref="A18:F18"/>
    <mergeCell ref="A21:F21"/>
    <mergeCell ref="A15:F15"/>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E30"/>
  <sheetViews>
    <sheetView showGridLines="1" workbookViewId="0">
      <selection activeCell="A1" sqref="A1"/>
    </sheetView>
  </sheetViews>
  <sheetFormatPr baseColWidth="8" defaultRowHeight="15"/>
  <cols>
    <col width="18" customWidth="1" min="1" max="1"/>
    <col width="35" customWidth="1" min="2" max="2"/>
    <col width="25" customWidth="1" min="3" max="3"/>
    <col width="25" customWidth="1" min="4" max="4"/>
    <col width="60" customWidth="1" min="5" max="5"/>
  </cols>
  <sheetData>
    <row r="1">
      <c r="A1" s="19" t="inlineStr">
        <is>
          <t>Real Estate Specific Chart of Accounts</t>
        </is>
      </c>
    </row>
    <row r="2">
      <c r="A2" s="2" t="inlineStr">
        <is>
          <t>Import this master list into QuickBooks Online to set up your practice company.</t>
        </is>
      </c>
    </row>
    <row r="4">
      <c r="A4" s="20" t="inlineStr">
        <is>
          <t>Account Number</t>
        </is>
      </c>
      <c r="B4" s="20" t="inlineStr">
        <is>
          <t>Account Name</t>
        </is>
      </c>
      <c r="C4" s="20" t="inlineStr">
        <is>
          <t>Account Type</t>
        </is>
      </c>
      <c r="D4" s="20" t="inlineStr">
        <is>
          <t>Detail Type</t>
        </is>
      </c>
      <c r="E4" s="20" t="inlineStr">
        <is>
          <t>Description / Specific QBO Treatment</t>
        </is>
      </c>
    </row>
    <row r="5" ht="24" customHeight="1">
      <c r="A5" s="21" t="inlineStr">
        <is>
          <t>1100</t>
        </is>
      </c>
      <c r="B5" s="22" t="inlineStr">
        <is>
          <t>Business Checking - Rental Operations</t>
        </is>
      </c>
      <c r="C5" s="22" t="inlineStr">
        <is>
          <t>Bank</t>
        </is>
      </c>
      <c r="D5" s="22" t="inlineStr">
        <is>
          <t>Checking</t>
        </is>
      </c>
      <c r="E5" s="23" t="inlineStr">
        <is>
          <t>Primary bank account for receiving rent and paying operating expenses.</t>
        </is>
      </c>
    </row>
    <row r="6" ht="24" customHeight="1">
      <c r="A6" s="24" t="inlineStr">
        <is>
          <t>1200</t>
        </is>
      </c>
      <c r="B6" s="9" t="inlineStr">
        <is>
          <t>Tenant Security Deposit Checking (Trust)</t>
        </is>
      </c>
      <c r="C6" s="9" t="inlineStr">
        <is>
          <t>Bank</t>
        </is>
      </c>
      <c r="D6" s="9" t="inlineStr">
        <is>
          <t>Checking</t>
        </is>
      </c>
      <c r="E6" s="25" t="inlineStr">
        <is>
          <t>Separate bank account held in escrow to keep security deposits segregated from operating cash.</t>
        </is>
      </c>
    </row>
    <row r="7" ht="24" customHeight="1">
      <c r="A7" s="21" t="inlineStr">
        <is>
          <t>1300</t>
        </is>
      </c>
      <c r="B7" s="22" t="inlineStr">
        <is>
          <t>Prepaid Insurance</t>
        </is>
      </c>
      <c r="C7" s="22" t="inlineStr">
        <is>
          <t>Other Current Asset</t>
        </is>
      </c>
      <c r="D7" s="22" t="inlineStr">
        <is>
          <t>PrepaidExpenses</t>
        </is>
      </c>
      <c r="E7" s="23" t="inlineStr">
        <is>
          <t>Insurance premiums paid in advance, amortized monthly.</t>
        </is>
      </c>
    </row>
    <row r="8" ht="24" customHeight="1">
      <c r="A8" s="24" t="inlineStr">
        <is>
          <t>1510</t>
        </is>
      </c>
      <c r="B8" s="9" t="inlineStr">
        <is>
          <t>123 Maple St - Purchase Price (Property)</t>
        </is>
      </c>
      <c r="C8" s="9" t="inlineStr">
        <is>
          <t>Fixed Asset</t>
        </is>
      </c>
      <c r="D8" s="9" t="inlineStr">
        <is>
          <t>Non-depreciableLand</t>
        </is>
      </c>
      <c r="E8" s="25" t="inlineStr">
        <is>
          <t>Asset account to hold the unadjusted purchase price of the property.</t>
        </is>
      </c>
    </row>
    <row r="9" ht="24" customHeight="1">
      <c r="A9" s="21" t="inlineStr">
        <is>
          <t>1520</t>
        </is>
      </c>
      <c r="B9" s="22" t="inlineStr">
        <is>
          <t>123 Maple St - Land Allocation</t>
        </is>
      </c>
      <c r="C9" s="22" t="inlineStr">
        <is>
          <t>Fixed Asset</t>
        </is>
      </c>
      <c r="D9" s="22" t="inlineStr">
        <is>
          <t>Non-depreciableLand</t>
        </is>
      </c>
      <c r="E9" s="23" t="inlineStr">
        <is>
          <t>Value of the land portion of the purchase (cannot be depreciated).</t>
        </is>
      </c>
    </row>
    <row r="10" ht="24" customHeight="1">
      <c r="A10" s="24" t="inlineStr">
        <is>
          <t>1530</t>
        </is>
      </c>
      <c r="B10" s="9" t="inlineStr">
        <is>
          <t>123 Maple St - Building &amp; Improvements</t>
        </is>
      </c>
      <c r="C10" s="9" t="inlineStr">
        <is>
          <t>Fixed Asset</t>
        </is>
      </c>
      <c r="D10" s="9" t="inlineStr">
        <is>
          <t>Building</t>
        </is>
      </c>
      <c r="E10" s="25" t="inlineStr">
        <is>
          <t>Depreciable portion of the property, including capitalized improvements.</t>
        </is>
      </c>
    </row>
    <row r="11" ht="24" customHeight="1">
      <c r="A11" s="21" t="inlineStr">
        <is>
          <t>1540</t>
        </is>
      </c>
      <c r="B11" s="22" t="inlineStr">
        <is>
          <t>123 Maple St - Capitalized Acquisition Costs</t>
        </is>
      </c>
      <c r="C11" s="22" t="inlineStr">
        <is>
          <t>Fixed Asset</t>
        </is>
      </c>
      <c r="D11" s="22" t="inlineStr">
        <is>
          <t>Building</t>
        </is>
      </c>
      <c r="E11" s="23" t="inlineStr">
        <is>
          <t>Capitalized escrow and title costs that increase the property's tax basis.</t>
        </is>
      </c>
    </row>
    <row r="12" ht="24" customHeight="1">
      <c r="A12" s="24" t="inlineStr">
        <is>
          <t>1550</t>
        </is>
      </c>
      <c r="B12" s="9" t="inlineStr">
        <is>
          <t>123 Maple St - Accumulated Depreciation</t>
        </is>
      </c>
      <c r="C12" s="9" t="inlineStr">
        <is>
          <t>Fixed Asset</t>
        </is>
      </c>
      <c r="D12" s="9" t="inlineStr">
        <is>
          <t>AccumulatedDepreciation</t>
        </is>
      </c>
      <c r="E12" s="25" t="inlineStr">
        <is>
          <t>Contra-asset account tracking cumulative depreciation over time.</t>
        </is>
      </c>
    </row>
    <row r="13" ht="24" customHeight="1">
      <c r="A13" s="21" t="inlineStr">
        <is>
          <t>2100</t>
        </is>
      </c>
      <c r="B13" s="22" t="inlineStr">
        <is>
          <t>Accounts Payable</t>
        </is>
      </c>
      <c r="C13" s="22" t="inlineStr">
        <is>
          <t>Accounts Payable</t>
        </is>
      </c>
      <c r="D13" s="22" t="inlineStr">
        <is>
          <t>AccountsPayable</t>
        </is>
      </c>
      <c r="E13" s="23" t="inlineStr">
        <is>
          <t>Unpaid expenses owed to vendors and contractors.</t>
        </is>
      </c>
    </row>
    <row r="14" ht="24" customHeight="1">
      <c r="A14" s="24" t="inlineStr">
        <is>
          <t>2200</t>
        </is>
      </c>
      <c r="B14" s="9" t="inlineStr">
        <is>
          <t>Tenant Security Deposits (Held)</t>
        </is>
      </c>
      <c r="C14" s="9" t="inlineStr">
        <is>
          <t>Other Current Liability</t>
        </is>
      </c>
      <c r="D14" s="9" t="inlineStr">
        <is>
          <t>OtherCurrentLiabilities</t>
        </is>
      </c>
      <c r="E14" s="25" t="inlineStr">
        <is>
          <t>Escrow liability account representing refundable deposits owed back to tenants.</t>
        </is>
      </c>
    </row>
    <row r="15" ht="24" customHeight="1">
      <c r="A15" s="21" t="inlineStr">
        <is>
          <t>2500</t>
        </is>
      </c>
      <c r="B15" s="22" t="inlineStr">
        <is>
          <t>Mortgage Payable - Commercial Bank of NY</t>
        </is>
      </c>
      <c r="C15" s="22" t="inlineStr">
        <is>
          <t>Long Term Liability</t>
        </is>
      </c>
      <c r="D15" s="22" t="inlineStr">
        <is>
          <t>NotesPayable</t>
        </is>
      </c>
      <c r="E15" s="23" t="inlineStr">
        <is>
          <t>Outstanding balance of the principal mortgage loan on 123 Maple St.</t>
        </is>
      </c>
    </row>
    <row r="16" ht="24" customHeight="1">
      <c r="A16" s="24" t="inlineStr">
        <is>
          <t>3000</t>
        </is>
      </c>
      <c r="B16" s="9" t="inlineStr">
        <is>
          <t>Owner's Capital Investment</t>
        </is>
      </c>
      <c r="C16" s="9" t="inlineStr">
        <is>
          <t>Equity</t>
        </is>
      </c>
      <c r="D16" s="9" t="inlineStr">
        <is>
          <t>OwnerEquity</t>
        </is>
      </c>
      <c r="E16" s="25" t="inlineStr">
        <is>
          <t>Capital contributions made by the owner from personal funds.</t>
        </is>
      </c>
    </row>
    <row r="17" ht="24" customHeight="1">
      <c r="A17" s="21" t="inlineStr">
        <is>
          <t>3100</t>
        </is>
      </c>
      <c r="B17" s="22" t="inlineStr">
        <is>
          <t>Owner's Draw</t>
        </is>
      </c>
      <c r="C17" s="22" t="inlineStr">
        <is>
          <t>Equity</t>
        </is>
      </c>
      <c r="D17" s="22" t="inlineStr">
        <is>
          <t>PersonalDraw</t>
        </is>
      </c>
      <c r="E17" s="23" t="inlineStr">
        <is>
          <t>Distributions of operating cash to the owner for personal use.</t>
        </is>
      </c>
    </row>
    <row r="18" ht="24" customHeight="1">
      <c r="A18" s="24" t="inlineStr">
        <is>
          <t>3200</t>
        </is>
      </c>
      <c r="B18" s="9" t="inlineStr">
        <is>
          <t>Retained Earnings</t>
        </is>
      </c>
      <c r="C18" s="9" t="inlineStr">
        <is>
          <t>Equity</t>
        </is>
      </c>
      <c r="D18" s="9" t="inlineStr">
        <is>
          <t>RetainedEarnings</t>
        </is>
      </c>
      <c r="E18" s="25" t="inlineStr">
        <is>
          <t>Cumulative historical net profit/loss retained in the business.</t>
        </is>
      </c>
    </row>
    <row r="19" ht="24" customHeight="1">
      <c r="A19" s="21" t="inlineStr">
        <is>
          <t>4100</t>
        </is>
      </c>
      <c r="B19" s="22" t="inlineStr">
        <is>
          <t>Rental Income</t>
        </is>
      </c>
      <c r="C19" s="22" t="inlineStr">
        <is>
          <t>Income</t>
        </is>
      </c>
      <c r="D19" s="22" t="inlineStr">
        <is>
          <t>SalesOfProductIncome</t>
        </is>
      </c>
      <c r="E19" s="23" t="inlineStr">
        <is>
          <t>Gross rental payments received from tenants.</t>
        </is>
      </c>
    </row>
    <row r="20" ht="24" customHeight="1">
      <c r="A20" s="24" t="inlineStr">
        <is>
          <t>4200</t>
        </is>
      </c>
      <c r="B20" s="9" t="inlineStr">
        <is>
          <t>Late Fee Income</t>
        </is>
      </c>
      <c r="C20" s="9" t="inlineStr">
        <is>
          <t>Income</t>
        </is>
      </c>
      <c r="D20" s="9" t="inlineStr">
        <is>
          <t>OtherPrimaryIncome</t>
        </is>
      </c>
      <c r="E20" s="25" t="inlineStr">
        <is>
          <t>Fees charged to tenants for late rental payments.</t>
        </is>
      </c>
    </row>
    <row r="21" ht="24" customHeight="1">
      <c r="A21" s="21" t="inlineStr">
        <is>
          <t>5100</t>
        </is>
      </c>
      <c r="B21" s="22" t="inlineStr">
        <is>
          <t>Property Management Fees</t>
        </is>
      </c>
      <c r="C21" s="22" t="inlineStr">
        <is>
          <t>Expense</t>
        </is>
      </c>
      <c r="D21" s="22" t="inlineStr">
        <is>
          <t>PropertyManagementFees</t>
        </is>
      </c>
      <c r="E21" s="23" t="inlineStr">
        <is>
          <t>Fees paid to the management company (typically 8% of collected rent).</t>
        </is>
      </c>
    </row>
    <row r="22" ht="24" customHeight="1">
      <c r="A22" s="24" t="inlineStr">
        <is>
          <t>5200</t>
        </is>
      </c>
      <c r="B22" s="9" t="inlineStr">
        <is>
          <t>Repairs &amp; Maintenance</t>
        </is>
      </c>
      <c r="C22" s="9" t="inlineStr">
        <is>
          <t>Expense</t>
        </is>
      </c>
      <c r="D22" s="9" t="inlineStr">
        <is>
          <t>RepairMaintenance</t>
        </is>
      </c>
      <c r="E22" s="25" t="inlineStr">
        <is>
          <t>General repairs (plumbing, landscaping, minor HVAC, painting).</t>
        </is>
      </c>
    </row>
    <row r="23" ht="24" customHeight="1">
      <c r="A23" s="21" t="inlineStr">
        <is>
          <t>5300</t>
        </is>
      </c>
      <c r="B23" s="22" t="inlineStr">
        <is>
          <t>Utilities</t>
        </is>
      </c>
      <c r="C23" s="22" t="inlineStr">
        <is>
          <t>Expense</t>
        </is>
      </c>
      <c r="D23" s="22" t="inlineStr">
        <is>
          <t>Utilities</t>
        </is>
      </c>
      <c r="E23" s="23" t="inlineStr">
        <is>
          <t>Electricity, water, sewer, and trash removal services paid by the landlord.</t>
        </is>
      </c>
    </row>
    <row r="24" ht="24" customHeight="1">
      <c r="A24" s="24" t="inlineStr">
        <is>
          <t>5400</t>
        </is>
      </c>
      <c r="B24" s="9" t="inlineStr">
        <is>
          <t>Insurance Expense</t>
        </is>
      </c>
      <c r="C24" s="9" t="inlineStr">
        <is>
          <t>Expense</t>
        </is>
      </c>
      <c r="D24" s="9" t="inlineStr">
        <is>
          <t>Insurance</t>
        </is>
      </c>
      <c r="E24" s="25" t="inlineStr">
        <is>
          <t>Monthly amortized portion of property and liability insurance.</t>
        </is>
      </c>
    </row>
    <row r="25" ht="24" customHeight="1">
      <c r="A25" s="21" t="inlineStr">
        <is>
          <t>5500</t>
        </is>
      </c>
      <c r="B25" s="22" t="inlineStr">
        <is>
          <t>Property Tax Expense</t>
        </is>
      </c>
      <c r="C25" s="22" t="inlineStr">
        <is>
          <t>Expense</t>
        </is>
      </c>
      <c r="D25" s="22" t="inlineStr">
        <is>
          <t>TaxesPaid</t>
        </is>
      </c>
      <c r="E25" s="23" t="inlineStr">
        <is>
          <t>Real estate property taxes paid to the county/municipality.</t>
        </is>
      </c>
    </row>
    <row r="26" ht="24" customHeight="1">
      <c r="A26" s="24" t="inlineStr">
        <is>
          <t>5600</t>
        </is>
      </c>
      <c r="B26" s="9" t="inlineStr">
        <is>
          <t>Mortgage Interest Expense</t>
        </is>
      </c>
      <c r="C26" s="9" t="inlineStr">
        <is>
          <t>Expense</t>
        </is>
      </c>
      <c r="D26" s="9" t="inlineStr">
        <is>
          <t>InterestPaid</t>
        </is>
      </c>
      <c r="E26" s="25" t="inlineStr">
        <is>
          <t>Interest portion of the monthly mortgage payment (excludes principal).</t>
        </is>
      </c>
    </row>
    <row r="27" ht="24" customHeight="1">
      <c r="A27" s="21" t="inlineStr">
        <is>
          <t>5700</t>
        </is>
      </c>
      <c r="B27" s="22" t="inlineStr">
        <is>
          <t>Professional &amp; Software Fees</t>
        </is>
      </c>
      <c r="C27" s="22" t="inlineStr">
        <is>
          <t>Expense</t>
        </is>
      </c>
      <c r="D27" s="22" t="inlineStr">
        <is>
          <t>LegalProfessionalFees</t>
        </is>
      </c>
      <c r="E27" s="23" t="inlineStr">
        <is>
          <t>Cost of bookkeeping, CPA tax filing, and software subscriptions (QBO, tenant portals).</t>
        </is>
      </c>
    </row>
    <row r="28" ht="24" customHeight="1">
      <c r="A28" s="24" t="inlineStr">
        <is>
          <t>5800</t>
        </is>
      </c>
      <c r="B28" s="9" t="inlineStr">
        <is>
          <t>Marketing &amp; Advertising</t>
        </is>
      </c>
      <c r="C28" s="9" t="inlineStr">
        <is>
          <t>Expense</t>
        </is>
      </c>
      <c r="D28" s="9" t="inlineStr">
        <is>
          <t>AdvertisingPromotional</t>
        </is>
      </c>
      <c r="E28" s="25" t="inlineStr">
        <is>
          <t>Cost of listings, Facebook ads, and flyers to attract tenants.</t>
        </is>
      </c>
    </row>
    <row r="29" ht="24" customHeight="1">
      <c r="A29" s="21" t="inlineStr">
        <is>
          <t>5900</t>
        </is>
      </c>
      <c r="B29" s="22" t="inlineStr">
        <is>
          <t>Depreciation Expense</t>
        </is>
      </c>
      <c r="C29" s="22" t="inlineStr">
        <is>
          <t>Expense</t>
        </is>
      </c>
      <c r="D29" s="22" t="inlineStr">
        <is>
          <t>Depreciation</t>
        </is>
      </c>
      <c r="E29" s="23" t="inlineStr">
        <is>
          <t>Monthly or annual non-cash depreciation of the building and improvements.</t>
        </is>
      </c>
    </row>
    <row r="30" ht="24" customHeight="1">
      <c r="A30" s="24" t="inlineStr">
        <is>
          <t>8100</t>
        </is>
      </c>
      <c r="B30" s="9" t="inlineStr">
        <is>
          <t>Gain/Loss on Sale of Real Estate</t>
        </is>
      </c>
      <c r="C30" s="9" t="inlineStr">
        <is>
          <t>Other Income</t>
        </is>
      </c>
      <c r="D30" s="9" t="inlineStr">
        <is>
          <t>OtherMiscellaneousIncome</t>
        </is>
      </c>
      <c r="E30" s="25" t="inlineStr">
        <is>
          <t>Special account to record the net capital gain or loss upon disposal of property.</t>
        </is>
      </c>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F52"/>
  <sheetViews>
    <sheetView showGridLines="1" workbookViewId="0">
      <selection activeCell="A1" sqref="A1"/>
    </sheetView>
  </sheetViews>
  <sheetFormatPr baseColWidth="8" defaultRowHeight="15"/>
  <cols>
    <col width="38" customWidth="1" min="1" max="1"/>
    <col width="18" customWidth="1" min="2" max="2"/>
    <col width="18" customWidth="1" min="3" max="3"/>
    <col width="45" customWidth="1" min="4" max="4"/>
    <col width="35" customWidth="1" min="5" max="5"/>
    <col width="18" customWidth="1" min="6" max="6"/>
  </cols>
  <sheetData>
    <row r="1">
      <c r="A1" s="19" t="inlineStr">
        <is>
          <t>Property Transactions Details: Acquisition &amp; Sale</t>
        </is>
      </c>
    </row>
    <row r="2">
      <c r="A2" s="2" t="inlineStr">
        <is>
          <t>This tab acts as the closing disclosure and explains how to book the property purchase and sale via Journal Entries.</t>
        </is>
      </c>
    </row>
    <row r="4">
      <c r="A4" s="3" t="inlineStr">
        <is>
          <t>PART 1: ACQUISITION SETTLEMENT STATEMENT (JANUARY 15, 2026)</t>
        </is>
      </c>
      <c r="E4" s="3" t="inlineStr">
        <is>
          <t>LAND &amp; BUILDING ALLOCATION</t>
        </is>
      </c>
    </row>
    <row r="5">
      <c r="A5" s="20" t="inlineStr">
        <is>
          <t>Item Description</t>
        </is>
      </c>
      <c r="B5" s="20" t="inlineStr">
        <is>
          <t>Debits (Assets/Expenses)</t>
        </is>
      </c>
      <c r="C5" s="20" t="inlineStr">
        <is>
          <t>Credits (Liabilities/Equity)</t>
        </is>
      </c>
      <c r="D5" s="20" t="inlineStr">
        <is>
          <t>QBO Chart of Accounts Mapping</t>
        </is>
      </c>
      <c r="E5" s="26" t="inlineStr">
        <is>
          <t>Category</t>
        </is>
      </c>
      <c r="F5" s="26" t="inlineStr">
        <is>
          <t>Amount</t>
        </is>
      </c>
    </row>
    <row r="6">
      <c r="A6" s="22" t="inlineStr">
        <is>
          <t>Contract Purchase Price (Total Basis)</t>
        </is>
      </c>
      <c r="B6" s="27" t="n">
        <v>850000</v>
      </c>
      <c r="C6" s="28" t="n"/>
      <c r="D6" s="22" t="inlineStr">
        <is>
          <t>1510: 123 Maple St - Purchase Price (Fixed Asset)</t>
        </is>
      </c>
      <c r="E6" s="22" t="inlineStr">
        <is>
          <t>Land Allocation (17.65%)</t>
        </is>
      </c>
      <c r="F6" s="27" t="n">
        <v>150000</v>
      </c>
    </row>
    <row r="7">
      <c r="A7" s="9" t="inlineStr">
        <is>
          <t>New First Mortgage Loan (Long-Term Liability)</t>
        </is>
      </c>
      <c r="B7" s="29" t="n"/>
      <c r="C7" s="30" t="n">
        <v>640000</v>
      </c>
      <c r="D7" s="9" t="inlineStr">
        <is>
          <t>2500: Mortgage Payable (Long Term Liability)</t>
        </is>
      </c>
      <c r="E7" s="22" t="inlineStr">
        <is>
          <t>Building &amp; Improvements (82.35%)</t>
        </is>
      </c>
      <c r="F7" s="27" t="n">
        <v>700000</v>
      </c>
    </row>
    <row r="8">
      <c r="A8" s="22" t="inlineStr">
        <is>
          <t>Earnest Money Deposit (Paid from personal funds)</t>
        </is>
      </c>
      <c r="B8" s="28" t="n"/>
      <c r="C8" s="27" t="n">
        <v>15000</v>
      </c>
      <c r="D8" s="22" t="inlineStr">
        <is>
          <t>3000: Owner's Capital Investment (Equity)</t>
        </is>
      </c>
      <c r="E8" s="22" t="inlineStr">
        <is>
          <t>Capitalized Fees Added to Basis</t>
        </is>
      </c>
      <c r="F8" s="27" t="n">
        <v>11000</v>
      </c>
    </row>
    <row r="9">
      <c r="A9" s="9" t="inlineStr">
        <is>
          <t>Title Search &amp; Legal Escrow Fees</t>
        </is>
      </c>
      <c r="B9" s="30" t="n">
        <v>4500</v>
      </c>
      <c r="C9" s="29" t="n"/>
      <c r="D9" s="9" t="inlineStr">
        <is>
          <t>1540: Capitalized Acquisition Costs (Fixed Asset)</t>
        </is>
      </c>
      <c r="E9" s="31" t="inlineStr">
        <is>
          <t>Total Property Basis</t>
        </is>
      </c>
      <c r="F9" s="32">
        <f>SUM(F6:F8)</f>
        <v/>
      </c>
    </row>
    <row r="10">
      <c r="A10" s="22" t="inlineStr">
        <is>
          <t>Recording &amp; Transfer Fees</t>
        </is>
      </c>
      <c r="B10" s="27" t="n">
        <v>500</v>
      </c>
      <c r="C10" s="28" t="n"/>
      <c r="D10" s="22" t="inlineStr">
        <is>
          <t>1540: Capitalized Acquisition Costs (Fixed Asset)</t>
        </is>
      </c>
    </row>
    <row r="11">
      <c r="A11" s="9" t="inlineStr">
        <is>
          <t>Property Tax Prorations (Seller credit to buyer)</t>
        </is>
      </c>
      <c r="B11" s="29" t="n"/>
      <c r="C11" s="30" t="n">
        <v>2500</v>
      </c>
      <c r="D11" s="9" t="inlineStr">
        <is>
          <t>5500: Property Tax Expense (Operating Expense Credit)</t>
        </is>
      </c>
    </row>
    <row r="12">
      <c r="A12" s="22" t="inlineStr">
        <is>
          <t>Prepaid Homeowners Insurance Premium (1 Year)</t>
        </is>
      </c>
      <c r="B12" s="27" t="n">
        <v>2400</v>
      </c>
      <c r="C12" s="28" t="n"/>
      <c r="D12" s="22" t="inlineStr">
        <is>
          <t>1300: Prepaid Insurance (Other Current Asset)</t>
        </is>
      </c>
    </row>
    <row r="13">
      <c r="A13" s="9" t="inlineStr">
        <is>
          <t>Loan Origination &amp; Processing Fee</t>
        </is>
      </c>
      <c r="B13" s="30" t="n">
        <v>6000</v>
      </c>
      <c r="C13" s="29" t="n"/>
      <c r="D13" s="9" t="inlineStr">
        <is>
          <t>1540: Capitalized Acquisition Costs (Fixed Asset)</t>
        </is>
      </c>
    </row>
    <row r="14">
      <c r="A14" s="22" t="inlineStr">
        <is>
          <t>Balance of Cash to Close (Paid from Business Checking)</t>
        </is>
      </c>
      <c r="B14" s="28" t="n"/>
      <c r="C14" s="27" t="n">
        <v>205900</v>
      </c>
      <c r="D14" s="22" t="inlineStr">
        <is>
          <t>1100: Business Checking (Bank account outflow)</t>
        </is>
      </c>
    </row>
    <row r="15">
      <c r="A15" s="31" t="inlineStr">
        <is>
          <t>Totals</t>
        </is>
      </c>
      <c r="B15" s="32">
        <f>SUM(B6:B13)</f>
        <v/>
      </c>
      <c r="C15" s="32">
        <f>SUM(C6:C13)</f>
        <v/>
      </c>
      <c r="D15" s="33" t="inlineStr">
        <is>
          <t>Verify that debits equal credits</t>
        </is>
      </c>
    </row>
    <row r="16">
      <c r="A16" s="3" t="inlineStr">
        <is>
          <t>PROPERTY ACQUISITION JOURNAL ENTRY (JANUARY 15, 2026)</t>
        </is>
      </c>
    </row>
    <row r="17">
      <c r="A17" s="20" t="inlineStr">
        <is>
          <t>Account Number</t>
        </is>
      </c>
      <c r="B17" s="20" t="inlineStr">
        <is>
          <t>Account Name</t>
        </is>
      </c>
      <c r="C17" s="20" t="inlineStr">
        <is>
          <t>Debit ($)</t>
        </is>
      </c>
      <c r="D17" s="20" t="inlineStr">
        <is>
          <t>Credit ($)</t>
        </is>
      </c>
      <c r="E17" s="20" t="inlineStr">
        <is>
          <t>Description / Memo</t>
        </is>
      </c>
    </row>
    <row r="18">
      <c r="A18" s="22" t="inlineStr">
        <is>
          <t>1520</t>
        </is>
      </c>
      <c r="B18" s="22" t="inlineStr">
        <is>
          <t>123 Maple St - Land Allocation</t>
        </is>
      </c>
      <c r="C18" s="27" t="n">
        <v>150000</v>
      </c>
      <c r="D18" s="27" t="n">
        <v>0</v>
      </c>
      <c r="E18" s="22" t="inlineStr">
        <is>
          <t>Record Land purchase (non-depreciable)</t>
        </is>
      </c>
    </row>
    <row r="19">
      <c r="A19" s="9" t="inlineStr">
        <is>
          <t>1530</t>
        </is>
      </c>
      <c r="B19" s="9" t="inlineStr">
        <is>
          <t>123 Maple St - Building &amp; Improvements</t>
        </is>
      </c>
      <c r="C19" s="30" t="n">
        <v>700000</v>
      </c>
      <c r="D19" s="30" t="n">
        <v>0</v>
      </c>
      <c r="E19" s="9" t="inlineStr">
        <is>
          <t>Record Building purchase (depreciable)</t>
        </is>
      </c>
    </row>
    <row r="20">
      <c r="A20" s="22" t="inlineStr">
        <is>
          <t>1540</t>
        </is>
      </c>
      <c r="B20" s="22" t="inlineStr">
        <is>
          <t>123 Maple St - Capitalized Acquisition Costs</t>
        </is>
      </c>
      <c r="C20" s="27" t="n">
        <v>11000</v>
      </c>
      <c r="D20" s="27" t="n">
        <v>0</v>
      </c>
      <c r="E20" s="22" t="inlineStr">
        <is>
          <t>Capitalize closing legal, title, transfer &amp; origination fees</t>
        </is>
      </c>
    </row>
    <row r="21">
      <c r="A21" s="9" t="inlineStr">
        <is>
          <t>1300</t>
        </is>
      </c>
      <c r="B21" s="9" t="inlineStr">
        <is>
          <t>Prepaid Insurance</t>
        </is>
      </c>
      <c r="C21" s="30" t="n">
        <v>2400</v>
      </c>
      <c r="D21" s="30" t="n">
        <v>0</v>
      </c>
      <c r="E21" s="9" t="inlineStr">
        <is>
          <t>Prepaid property &amp; liability insurance (1 year policy)</t>
        </is>
      </c>
    </row>
    <row r="22">
      <c r="A22" s="22" t="inlineStr">
        <is>
          <t>2500</t>
        </is>
      </c>
      <c r="B22" s="22" t="inlineStr">
        <is>
          <t>Mortgage Payable - Commercial Bank</t>
        </is>
      </c>
      <c r="C22" s="27" t="n">
        <v>0</v>
      </c>
      <c r="D22" s="27" t="n">
        <v>640000</v>
      </c>
      <c r="E22" s="22" t="inlineStr">
        <is>
          <t>Record new 1st mortgage liability on 123 Maple St</t>
        </is>
      </c>
    </row>
    <row r="23">
      <c r="A23" s="9" t="inlineStr">
        <is>
          <t>3000</t>
        </is>
      </c>
      <c r="B23" s="9" t="inlineStr">
        <is>
          <t>Owner's Capital Investment</t>
        </is>
      </c>
      <c r="C23" s="30" t="n">
        <v>0</v>
      </c>
      <c r="D23" s="30" t="n">
        <v>15000</v>
      </c>
      <c r="E23" s="9" t="inlineStr">
        <is>
          <t>Record earnest money deposit paid from personal check</t>
        </is>
      </c>
    </row>
    <row r="24">
      <c r="A24" s="22" t="inlineStr">
        <is>
          <t>5500</t>
        </is>
      </c>
      <c r="B24" s="22" t="inlineStr">
        <is>
          <t>Property Tax Expense</t>
        </is>
      </c>
      <c r="C24" s="27" t="n">
        <v>0</v>
      </c>
      <c r="D24" s="27" t="n">
        <v>2500</v>
      </c>
      <c r="E24" s="22" t="inlineStr">
        <is>
          <t>Apply seller's property tax credit as county tax reduction</t>
        </is>
      </c>
    </row>
    <row r="25">
      <c r="A25" s="9" t="inlineStr">
        <is>
          <t>1100</t>
        </is>
      </c>
      <c r="B25" s="9" t="inlineStr">
        <is>
          <t>Business Checking</t>
        </is>
      </c>
      <c r="C25" s="30" t="n">
        <v>0</v>
      </c>
      <c r="D25" s="30" t="n">
        <v>205900</v>
      </c>
      <c r="E25" s="9" t="inlineStr">
        <is>
          <t>Record final cash paid from business bank account to close</t>
        </is>
      </c>
    </row>
    <row r="26">
      <c r="A26" s="34" t="inlineStr">
        <is>
          <t>Totals</t>
        </is>
      </c>
      <c r="B26" s="35" t="inlineStr"/>
      <c r="C26" s="36">
        <f>SUM(C18:C25)</f>
        <v/>
      </c>
      <c r="D26" s="36">
        <f>SUM(D18:D25)</f>
        <v/>
      </c>
      <c r="E26" s="35" t="inlineStr"/>
    </row>
    <row r="29">
      <c r="A29" s="3" t="inlineStr">
        <is>
          <t>PART 2: DISPOSAL / PROPERTY SALE SETTLEMENT STATEMENT (JUNE 30, 2026)</t>
        </is>
      </c>
    </row>
    <row r="30">
      <c r="A30" s="20" t="inlineStr">
        <is>
          <t>Item Description</t>
        </is>
      </c>
      <c r="B30" s="20" t="inlineStr">
        <is>
          <t>Debits (Assets/Expenses)</t>
        </is>
      </c>
      <c r="C30" s="20" t="inlineStr">
        <is>
          <t>Credits (Liabilities/Equity)</t>
        </is>
      </c>
      <c r="D30" s="20" t="inlineStr">
        <is>
          <t>QBO Chart of Accounts Mapping</t>
        </is>
      </c>
    </row>
    <row r="31">
      <c r="A31" s="22" t="inlineStr">
        <is>
          <t>Contract Sale Price (Gross Proceeds)</t>
        </is>
      </c>
      <c r="B31" s="28" t="n"/>
      <c r="C31" s="27" t="n">
        <v>950000</v>
      </c>
      <c r="D31" s="22" t="inlineStr">
        <is>
          <t>1510/8100: Property disposal transaction</t>
        </is>
      </c>
      <c r="E31" s="3" t="inlineStr">
        <is>
          <t>CAPITAL GAIN CALCULATION</t>
        </is>
      </c>
    </row>
    <row r="32">
      <c r="A32" s="9" t="inlineStr">
        <is>
          <t>Mortgage Payoff Amount (Commercial Bank of NY)</t>
        </is>
      </c>
      <c r="B32" s="30" t="n">
        <v>634950</v>
      </c>
      <c r="C32" s="29" t="n"/>
      <c r="D32" s="9" t="inlineStr">
        <is>
          <t>2500: Mortgage Payable (Full liability payoff)</t>
        </is>
      </c>
      <c r="E32" s="26" t="inlineStr">
        <is>
          <t>Item</t>
        </is>
      </c>
      <c r="F32" s="26" t="inlineStr">
        <is>
          <t>Amount</t>
        </is>
      </c>
    </row>
    <row r="33">
      <c r="A33" s="22" t="inlineStr">
        <is>
          <t>Real Estate Broker Commissions (6%)</t>
        </is>
      </c>
      <c r="B33" s="27" t="n">
        <v>57000</v>
      </c>
      <c r="C33" s="28" t="n"/>
      <c r="D33" s="22" t="inlineStr">
        <is>
          <t>8100: Reduction in Net Capital Gain (Disposal costs)</t>
        </is>
      </c>
      <c r="E33" s="22" t="inlineStr">
        <is>
          <t>Contract Sale Price</t>
        </is>
      </c>
      <c r="F33" s="27" t="n">
        <v>950000</v>
      </c>
    </row>
    <row r="34">
      <c r="A34" s="9" t="inlineStr">
        <is>
          <t>Title Transfer &amp; Escrow Closing Fees</t>
        </is>
      </c>
      <c r="B34" s="30" t="n">
        <v>3000</v>
      </c>
      <c r="C34" s="29" t="n"/>
      <c r="D34" s="9" t="inlineStr">
        <is>
          <t>8100: Reduction in Net Capital Gain (Disposal costs)</t>
        </is>
      </c>
      <c r="E34" s="22" t="inlineStr">
        <is>
          <t>Less: Commissions &amp; Fees</t>
        </is>
      </c>
      <c r="F34" s="27" t="n">
        <v>-60000</v>
      </c>
    </row>
    <row r="35">
      <c r="A35" s="22" t="inlineStr">
        <is>
          <t>Property Tax Prorations (Paid to county at closing)</t>
        </is>
      </c>
      <c r="B35" s="27" t="n">
        <v>2400</v>
      </c>
      <c r="C35" s="28" t="n"/>
      <c r="D35" s="22" t="inlineStr">
        <is>
          <t>5500: Property Tax Expense (Half-year prorated taxes)</t>
        </is>
      </c>
      <c r="E35" s="37" t="inlineStr">
        <is>
          <t>Net Sales Realization</t>
        </is>
      </c>
      <c r="F35" s="38">
        <f>SUM(F33:F34)</f>
        <v/>
      </c>
    </row>
    <row r="36">
      <c r="A36" s="9" t="inlineStr">
        <is>
          <t>Prepaid Insurance Refund Received (Pro-rated)</t>
        </is>
      </c>
      <c r="B36" s="29" t="n"/>
      <c r="C36" s="30" t="n">
        <v>1300</v>
      </c>
      <c r="D36" s="9" t="inlineStr">
        <is>
          <t>1300: Write-off Prepaid Insurance / Bank Deposit</t>
        </is>
      </c>
      <c r="E36" s="22" t="inlineStr">
        <is>
          <t>Less: Original Asset Cost Basis</t>
        </is>
      </c>
      <c r="F36" s="27" t="n">
        <v>-861000</v>
      </c>
    </row>
    <row r="37">
      <c r="A37" s="22" t="inlineStr">
        <is>
          <t>Net Cash Proceeds to Business Checking</t>
        </is>
      </c>
      <c r="B37" s="27" t="n">
        <v>253950</v>
      </c>
      <c r="C37" s="28" t="n"/>
      <c r="D37" s="22" t="inlineStr">
        <is>
          <t>1100: Business Checking (Bank account inflow)</t>
        </is>
      </c>
      <c r="E37" s="22" t="inlineStr">
        <is>
          <t>Plus: Accumulated Depreciation</t>
        </is>
      </c>
      <c r="F37" s="27" t="n">
        <v>11676.5</v>
      </c>
    </row>
    <row r="38">
      <c r="A38" s="31" t="inlineStr">
        <is>
          <t>Totals</t>
        </is>
      </c>
      <c r="B38" s="32">
        <f>SUM(B31:B37)</f>
        <v/>
      </c>
      <c r="C38" s="32">
        <f>SUM(C31:C37)</f>
        <v/>
      </c>
      <c r="D38" s="33" t="inlineStr">
        <is>
          <t>Verify that debits equal credits</t>
        </is>
      </c>
      <c r="E38" s="37" t="inlineStr">
        <is>
          <t>Adjusted Tax Cost Basis</t>
        </is>
      </c>
      <c r="F38" s="38">
        <f>SUM(F36:F37)</f>
        <v/>
      </c>
    </row>
    <row r="39">
      <c r="E39" s="31" t="inlineStr">
        <is>
          <t>Net Capital Gain on Sale</t>
        </is>
      </c>
      <c r="F39" s="32">
        <f>F35-F38</f>
        <v/>
      </c>
    </row>
    <row r="41">
      <c r="A41" s="3" t="inlineStr">
        <is>
          <t>PROPERTY SALE JOURNAL ENTRY (JUNE 30, 2026)</t>
        </is>
      </c>
    </row>
    <row r="42">
      <c r="A42" s="20" t="inlineStr">
        <is>
          <t>Account Number</t>
        </is>
      </c>
      <c r="B42" s="20" t="inlineStr">
        <is>
          <t>Account Name</t>
        </is>
      </c>
      <c r="C42" s="20" t="inlineStr">
        <is>
          <t>Debit ($)</t>
        </is>
      </c>
      <c r="D42" s="20" t="inlineStr">
        <is>
          <t>Credit ($)</t>
        </is>
      </c>
      <c r="E42" s="20" t="inlineStr">
        <is>
          <t>Description / Memo</t>
        </is>
      </c>
    </row>
    <row r="43">
      <c r="A43" s="22" t="inlineStr">
        <is>
          <t>1100</t>
        </is>
      </c>
      <c r="B43" s="22" t="inlineStr">
        <is>
          <t>Business Checking</t>
        </is>
      </c>
      <c r="C43" s="27" t="n">
        <v>253950</v>
      </c>
      <c r="D43" s="27" t="n">
        <v>0</v>
      </c>
      <c r="E43" s="22" t="inlineStr">
        <is>
          <t>Record net cash proceeds received from title escrow</t>
        </is>
      </c>
    </row>
    <row r="44">
      <c r="A44" s="9" t="inlineStr">
        <is>
          <t>2500</t>
        </is>
      </c>
      <c r="B44" s="9" t="inlineStr">
        <is>
          <t>Mortgage Payable - Commercial Bank</t>
        </is>
      </c>
      <c r="C44" s="30" t="n">
        <v>634950</v>
      </c>
      <c r="D44" s="30" t="n">
        <v>0</v>
      </c>
      <c r="E44" s="9" t="inlineStr">
        <is>
          <t>Remove remaining mortgage liability paid off from sales price</t>
        </is>
      </c>
    </row>
    <row r="45">
      <c r="A45" s="22" t="inlineStr">
        <is>
          <t>1550</t>
        </is>
      </c>
      <c r="B45" s="22" t="inlineStr">
        <is>
          <t>123 Maple St - Accumulated Depreciation</t>
        </is>
      </c>
      <c r="C45" s="27" t="n">
        <v>11676.5</v>
      </c>
      <c r="D45" s="27" t="n">
        <v>0</v>
      </c>
      <c r="E45" s="22" t="inlineStr">
        <is>
          <t>Reverse total accumulated depreciation (Jan - Jun)</t>
        </is>
      </c>
    </row>
    <row r="46">
      <c r="A46" s="9" t="inlineStr">
        <is>
          <t>5500</t>
        </is>
      </c>
      <c r="B46" s="9" t="inlineStr">
        <is>
          <t>Property Tax Expense</t>
        </is>
      </c>
      <c r="C46" s="30" t="n">
        <v>2400</v>
      </c>
      <c r="D46" s="30" t="n">
        <v>0</v>
      </c>
      <c r="E46" s="9" t="inlineStr">
        <is>
          <t>Prorated property taxes paid to county for half year</t>
        </is>
      </c>
    </row>
    <row r="47">
      <c r="A47" s="22" t="inlineStr">
        <is>
          <t>1520</t>
        </is>
      </c>
      <c r="B47" s="22" t="inlineStr">
        <is>
          <t>123 Maple St - Land Allocation</t>
        </is>
      </c>
      <c r="C47" s="27" t="n">
        <v>0</v>
      </c>
      <c r="D47" s="27" t="n">
        <v>150000</v>
      </c>
      <c r="E47" s="22" t="inlineStr">
        <is>
          <t>Write-off Land asset</t>
        </is>
      </c>
    </row>
    <row r="48">
      <c r="A48" s="9" t="inlineStr">
        <is>
          <t>1530</t>
        </is>
      </c>
      <c r="B48" s="9" t="inlineStr">
        <is>
          <t>123 Maple St - Building &amp; Improvements</t>
        </is>
      </c>
      <c r="C48" s="30" t="n">
        <v>0</v>
      </c>
      <c r="D48" s="30" t="n">
        <v>700000</v>
      </c>
      <c r="E48" s="9" t="inlineStr">
        <is>
          <t>Write-off Building asset</t>
        </is>
      </c>
    </row>
    <row r="49">
      <c r="A49" s="22" t="inlineStr">
        <is>
          <t>1540</t>
        </is>
      </c>
      <c r="B49" s="22" t="inlineStr">
        <is>
          <t>123 Maple St - Capitalized Acquisition Costs</t>
        </is>
      </c>
      <c r="C49" s="27" t="n">
        <v>0</v>
      </c>
      <c r="D49" s="27" t="n">
        <v>11000</v>
      </c>
      <c r="E49" s="22" t="inlineStr">
        <is>
          <t>Write-off Capitalized Purchase Expenses</t>
        </is>
      </c>
    </row>
    <row r="50">
      <c r="A50" s="9" t="inlineStr">
        <is>
          <t>1300</t>
        </is>
      </c>
      <c r="B50" s="9" t="inlineStr">
        <is>
          <t>Prepaid Insurance</t>
        </is>
      </c>
      <c r="C50" s="30" t="n">
        <v>0</v>
      </c>
      <c r="D50" s="30" t="n">
        <v>1300</v>
      </c>
      <c r="E50" s="9" t="inlineStr">
        <is>
          <t>Write-off residual prepaid insurance balance refunded/cancelled</t>
        </is>
      </c>
    </row>
    <row r="51">
      <c r="A51" s="22" t="inlineStr">
        <is>
          <t>8100</t>
        </is>
      </c>
      <c r="B51" s="22" t="inlineStr">
        <is>
          <t>Gain/Loss on Sale of Real Estate</t>
        </is>
      </c>
      <c r="C51" s="27" t="n">
        <v>0</v>
      </c>
      <c r="D51" s="27" t="n">
        <v>40676.5</v>
      </c>
      <c r="E51" s="22" t="inlineStr">
        <is>
          <t>Record Capital Gain on Property Sale (calculated below)</t>
        </is>
      </c>
    </row>
    <row r="52">
      <c r="A52" s="34" t="inlineStr">
        <is>
          <t>Totals</t>
        </is>
      </c>
      <c r="B52" s="35" t="inlineStr"/>
      <c r="C52" s="36">
        <f>SUM(C43:C51)</f>
        <v/>
      </c>
      <c r="D52" s="36">
        <f>SUM(D43:D51)</f>
        <v/>
      </c>
      <c r="E52" s="35" t="inlineStr"/>
    </row>
  </sheetData>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F51"/>
  <sheetViews>
    <sheetView showGridLines="1" workbookViewId="0">
      <selection activeCell="A1" sqref="A1"/>
    </sheetView>
  </sheetViews>
  <sheetFormatPr baseColWidth="8" defaultRowHeight="15"/>
  <cols>
    <col width="15" customWidth="1" min="1" max="1"/>
    <col width="45" customWidth="1" min="2" max="2"/>
    <col width="15" customWidth="1" min="3" max="3"/>
    <col width="50" customWidth="1" min="4" max="4"/>
    <col width="25" customWidth="1" min="5" max="5"/>
    <col width="18" customWidth="1" min="6" max="6"/>
  </cols>
  <sheetData>
    <row r="1">
      <c r="A1" s="19" t="inlineStr">
        <is>
          <t>Business Checking Account Bank Feed</t>
        </is>
      </c>
    </row>
    <row r="2">
      <c r="A2" s="2" t="inlineStr">
        <is>
          <t>This table matches standard bank feed exports (QBO CSV import format). Practice categorizing these in QBO!</t>
        </is>
      </c>
    </row>
    <row r="4">
      <c r="A4" s="20" t="inlineStr">
        <is>
          <t>Date</t>
        </is>
      </c>
      <c r="B4" s="20" t="inlineStr">
        <is>
          <t>Description / Payee</t>
        </is>
      </c>
      <c r="C4" s="20" t="inlineStr">
        <is>
          <t>Amount ($)</t>
        </is>
      </c>
      <c r="D4" s="20" t="inlineStr">
        <is>
          <t>Account Mapping Guidance</t>
        </is>
      </c>
      <c r="E4" s="20" t="inlineStr">
        <is>
          <t>Class / Property Tag</t>
        </is>
      </c>
      <c r="F4" s="20" t="inlineStr">
        <is>
          <t>Transaction Type</t>
        </is>
      </c>
    </row>
    <row r="5">
      <c r="A5" s="39" t="inlineStr">
        <is>
          <t>2026-01-02</t>
        </is>
      </c>
      <c r="B5" s="22" t="inlineStr">
        <is>
          <t>Owner Initial Contribution - Deposit</t>
        </is>
      </c>
      <c r="C5" s="27" t="n">
        <v>15000</v>
      </c>
      <c r="D5" s="22" t="inlineStr">
        <is>
          <t>3000: Owner's Capital Investment (Equity)</t>
        </is>
      </c>
      <c r="E5" s="22" t="inlineStr">
        <is>
          <t>123 Maple St Apartments</t>
        </is>
      </c>
      <c r="F5" s="21" t="inlineStr">
        <is>
          <t>Deposit</t>
        </is>
      </c>
    </row>
    <row r="6">
      <c r="A6" s="40" t="inlineStr">
        <is>
          <t>2026-01-10</t>
        </is>
      </c>
      <c r="B6" s="9" t="inlineStr">
        <is>
          <t>Owner Contribution - Cash to Close</t>
        </is>
      </c>
      <c r="C6" s="30" t="n">
        <v>210000</v>
      </c>
      <c r="D6" s="9" t="inlineStr">
        <is>
          <t>3000: Owner's Capital Investment (Equity)</t>
        </is>
      </c>
      <c r="E6" s="9" t="inlineStr">
        <is>
          <t>123 Maple St Apartments</t>
        </is>
      </c>
      <c r="F6" s="24" t="inlineStr">
        <is>
          <t>Deposit</t>
        </is>
      </c>
    </row>
    <row r="7">
      <c r="A7" s="39" t="inlineStr">
        <is>
          <t>2026-01-15</t>
        </is>
      </c>
      <c r="B7" s="22" t="inlineStr">
        <is>
          <t>Acquisition Wire - Cash to Close (Escrow Co)</t>
        </is>
      </c>
      <c r="C7" s="41" t="n">
        <v>-205900</v>
      </c>
      <c r="D7" s="22" t="inlineStr">
        <is>
          <t>JE: Recording property acquisition</t>
        </is>
      </c>
      <c r="E7" s="22" t="inlineStr">
        <is>
          <t>123 Maple St Apartments</t>
        </is>
      </c>
      <c r="F7" s="21" t="inlineStr">
        <is>
          <t>Payment</t>
        </is>
      </c>
    </row>
    <row r="8">
      <c r="A8" s="40" t="inlineStr">
        <is>
          <t>2026-01-18</t>
        </is>
      </c>
      <c r="B8" s="9" t="inlineStr">
        <is>
          <t>Apex Property Mgmt - Security Deposit Unit 1A</t>
        </is>
      </c>
      <c r="C8" s="30" t="n">
        <v>1800</v>
      </c>
      <c r="D8" s="9" t="inlineStr">
        <is>
          <t>2200: Tenant Security Deposits (Liability)</t>
        </is>
      </c>
      <c r="E8" s="9" t="inlineStr">
        <is>
          <t>Unit 1A</t>
        </is>
      </c>
      <c r="F8" s="24" t="inlineStr">
        <is>
          <t>Deposit</t>
        </is>
      </c>
    </row>
    <row r="9">
      <c r="A9" s="39" t="inlineStr">
        <is>
          <t>2026-01-18</t>
        </is>
      </c>
      <c r="B9" s="22" t="inlineStr">
        <is>
          <t>Apex Property Mgmt - Security Deposit Unit 1B</t>
        </is>
      </c>
      <c r="C9" s="27" t="n">
        <v>1800</v>
      </c>
      <c r="D9" s="22" t="inlineStr">
        <is>
          <t>2200: Tenant Security Deposits (Liability)</t>
        </is>
      </c>
      <c r="E9" s="22" t="inlineStr">
        <is>
          <t>Unit 1B</t>
        </is>
      </c>
      <c r="F9" s="21" t="inlineStr">
        <is>
          <t>Deposit</t>
        </is>
      </c>
    </row>
    <row r="10">
      <c r="A10" s="40" t="inlineStr">
        <is>
          <t>2026-01-18</t>
        </is>
      </c>
      <c r="B10" s="9" t="inlineStr">
        <is>
          <t>Apex Property Mgmt - Security Deposit Unit 2A</t>
        </is>
      </c>
      <c r="C10" s="30" t="n">
        <v>1800</v>
      </c>
      <c r="D10" s="9" t="inlineStr">
        <is>
          <t>2200: Tenant Security Deposits (Liability)</t>
        </is>
      </c>
      <c r="E10" s="9" t="inlineStr">
        <is>
          <t>Unit 2A</t>
        </is>
      </c>
      <c r="F10" s="24" t="inlineStr">
        <is>
          <t>Deposit</t>
        </is>
      </c>
    </row>
    <row r="11">
      <c r="A11" s="39" t="inlineStr">
        <is>
          <t>2026-01-18</t>
        </is>
      </c>
      <c r="B11" s="22" t="inlineStr">
        <is>
          <t>Apex Property Mgmt - Security Deposit Unit 2B</t>
        </is>
      </c>
      <c r="C11" s="27" t="n">
        <v>1800</v>
      </c>
      <c r="D11" s="22" t="inlineStr">
        <is>
          <t>2200: Tenant Security Deposits (Liability)</t>
        </is>
      </c>
      <c r="E11" s="22" t="inlineStr">
        <is>
          <t>Unit 2B</t>
        </is>
      </c>
      <c r="F11" s="21" t="inlineStr">
        <is>
          <t>Deposit</t>
        </is>
      </c>
    </row>
    <row r="12">
      <c r="A12" s="40" t="inlineStr">
        <is>
          <t>2026-01-18</t>
        </is>
      </c>
      <c r="B12" s="9" t="inlineStr">
        <is>
          <t>Apex Property Mgmt - Prorated Jan Rent Unit 1A</t>
        </is>
      </c>
      <c r="C12" s="30" t="n">
        <v>900</v>
      </c>
      <c r="D12" s="9" t="inlineStr">
        <is>
          <t>4100: Rental Income</t>
        </is>
      </c>
      <c r="E12" s="9" t="inlineStr">
        <is>
          <t>Unit 1A</t>
        </is>
      </c>
      <c r="F12" s="24" t="inlineStr">
        <is>
          <t>Deposit</t>
        </is>
      </c>
    </row>
    <row r="13">
      <c r="A13" s="39" t="inlineStr">
        <is>
          <t>2026-01-18</t>
        </is>
      </c>
      <c r="B13" s="22" t="inlineStr">
        <is>
          <t>Apex Property Mgmt - Prorated Jan Rent Unit 1B</t>
        </is>
      </c>
      <c r="C13" s="27" t="n">
        <v>900</v>
      </c>
      <c r="D13" s="22" t="inlineStr">
        <is>
          <t>4100: Rental Income</t>
        </is>
      </c>
      <c r="E13" s="22" t="inlineStr">
        <is>
          <t>Unit 1B</t>
        </is>
      </c>
      <c r="F13" s="21" t="inlineStr">
        <is>
          <t>Deposit</t>
        </is>
      </c>
    </row>
    <row r="14">
      <c r="A14" s="40" t="inlineStr">
        <is>
          <t>2026-01-18</t>
        </is>
      </c>
      <c r="B14" s="9" t="inlineStr">
        <is>
          <t>Apex Property Mgmt - Prorated Jan Rent Unit 2A</t>
        </is>
      </c>
      <c r="C14" s="30" t="n">
        <v>900</v>
      </c>
      <c r="D14" s="9" t="inlineStr">
        <is>
          <t>4100: Rental Income</t>
        </is>
      </c>
      <c r="E14" s="9" t="inlineStr">
        <is>
          <t>Unit 2A</t>
        </is>
      </c>
      <c r="F14" s="24" t="inlineStr">
        <is>
          <t>Deposit</t>
        </is>
      </c>
    </row>
    <row r="15">
      <c r="A15" s="39" t="inlineStr">
        <is>
          <t>2026-01-18</t>
        </is>
      </c>
      <c r="B15" s="22" t="inlineStr">
        <is>
          <t>Apex Property Mgmt - Prorated Jan Rent Unit 2B</t>
        </is>
      </c>
      <c r="C15" s="27" t="n">
        <v>900</v>
      </c>
      <c r="D15" s="22" t="inlineStr">
        <is>
          <t>4100: Rental Income</t>
        </is>
      </c>
      <c r="E15" s="22" t="inlineStr">
        <is>
          <t>Unit 2B</t>
        </is>
      </c>
      <c r="F15" s="21" t="inlineStr">
        <is>
          <t>Deposit</t>
        </is>
      </c>
    </row>
    <row r="16">
      <c r="A16" s="40" t="inlineStr">
        <is>
          <t>2026-01-20</t>
        </is>
      </c>
      <c r="B16" s="9" t="inlineStr">
        <is>
          <t>Transfer to Sec Deposit Escrow Bank Account</t>
        </is>
      </c>
      <c r="C16" s="42" t="n">
        <v>-7200</v>
      </c>
      <c r="D16" s="9" t="inlineStr">
        <is>
          <t>1200: Trust Checking (Transfer between bank accounts)</t>
        </is>
      </c>
      <c r="E16" s="9" t="inlineStr">
        <is>
          <t>123 Maple St Apartments</t>
        </is>
      </c>
      <c r="F16" s="24" t="inlineStr">
        <is>
          <t>Payment</t>
        </is>
      </c>
    </row>
    <row r="17">
      <c r="A17" s="39" t="inlineStr">
        <is>
          <t>2026-01-20</t>
        </is>
      </c>
      <c r="B17" s="22" t="inlineStr">
        <is>
          <t>Apex Property Mgmt - Monthly Admin Fee</t>
        </is>
      </c>
      <c r="C17" s="41" t="n">
        <v>-288</v>
      </c>
      <c r="D17" s="22" t="inlineStr">
        <is>
          <t>5100: Property Management Fees (8% of $3,600 rent)</t>
        </is>
      </c>
      <c r="E17" s="22" t="inlineStr">
        <is>
          <t>123 Maple St Apartments</t>
        </is>
      </c>
      <c r="F17" s="21" t="inlineStr">
        <is>
          <t>Payment</t>
        </is>
      </c>
    </row>
    <row r="18">
      <c r="A18" s="40" t="inlineStr">
        <is>
          <t>2026-02-01</t>
        </is>
      </c>
      <c r="B18" s="9" t="inlineStr">
        <is>
          <t>Commercial Bank NY - Mortgage Payment</t>
        </is>
      </c>
      <c r="C18" s="42" t="n">
        <v>-4200</v>
      </c>
      <c r="D18" s="9" t="inlineStr">
        <is>
          <t>5600: Interest ($3,200) &amp; 2500: Principal ($1,000)</t>
        </is>
      </c>
      <c r="E18" s="9" t="inlineStr">
        <is>
          <t>123 Maple St Apartments</t>
        </is>
      </c>
      <c r="F18" s="24" t="inlineStr">
        <is>
          <t>Payment</t>
        </is>
      </c>
    </row>
    <row r="19">
      <c r="A19" s="39" t="inlineStr">
        <is>
          <t>2026-02-05</t>
        </is>
      </c>
      <c r="B19" s="22" t="inlineStr">
        <is>
          <t>Apex Property Mgmt - Feb Rental Income Consolidated</t>
        </is>
      </c>
      <c r="C19" s="27" t="n">
        <v>7200</v>
      </c>
      <c r="D19" s="22" t="inlineStr">
        <is>
          <t>4100: Rental Income ($1,800 x 4)</t>
        </is>
      </c>
      <c r="E19" s="22" t="inlineStr">
        <is>
          <t>123 Maple St Apartments</t>
        </is>
      </c>
      <c r="F19" s="21" t="inlineStr">
        <is>
          <t>Deposit</t>
        </is>
      </c>
    </row>
    <row r="20">
      <c r="A20" s="40" t="inlineStr">
        <is>
          <t>2026-02-07</t>
        </is>
      </c>
      <c r="B20" s="9" t="inlineStr">
        <is>
          <t>Apex Property Mgmt - Management Fee Feb</t>
        </is>
      </c>
      <c r="C20" s="42" t="n">
        <v>-576</v>
      </c>
      <c r="D20" s="9" t="inlineStr">
        <is>
          <t>5100: Property Management Fees (8% of $7,200)</t>
        </is>
      </c>
      <c r="E20" s="9" t="inlineStr">
        <is>
          <t>123 Maple St Apartments</t>
        </is>
      </c>
      <c r="F20" s="24" t="inlineStr">
        <is>
          <t>Payment</t>
        </is>
      </c>
    </row>
    <row r="21">
      <c r="A21" s="39" t="inlineStr">
        <is>
          <t>2026-02-10</t>
        </is>
      </c>
      <c r="B21" s="22" t="inlineStr">
        <is>
          <t>County Water Utility - Water &amp; Sewer Bill</t>
        </is>
      </c>
      <c r="C21" s="41" t="n">
        <v>-350</v>
      </c>
      <c r="D21" s="22" t="inlineStr">
        <is>
          <t>5300: Utilities</t>
        </is>
      </c>
      <c r="E21" s="22" t="inlineStr">
        <is>
          <t>123 Maple St Apartments</t>
        </is>
      </c>
      <c r="F21" s="21" t="inlineStr">
        <is>
          <t>Payment</t>
        </is>
      </c>
    </row>
    <row r="22">
      <c r="A22" s="40" t="inlineStr">
        <is>
          <t>2026-02-11</t>
        </is>
      </c>
      <c r="B22" s="9" t="inlineStr">
        <is>
          <t>City Trash Services - Waste Removal</t>
        </is>
      </c>
      <c r="C22" s="42" t="n">
        <v>-120</v>
      </c>
      <c r="D22" s="9" t="inlineStr">
        <is>
          <t>5300: Utilities</t>
        </is>
      </c>
      <c r="E22" s="9" t="inlineStr">
        <is>
          <t>123 Maple St Apartments</t>
        </is>
      </c>
      <c r="F22" s="24" t="inlineStr">
        <is>
          <t>Payment</t>
        </is>
      </c>
    </row>
    <row r="23">
      <c r="A23" s="39" t="inlineStr">
        <is>
          <t>2026-02-12</t>
        </is>
      </c>
      <c r="B23" s="22" t="inlineStr">
        <is>
          <t>National Grid - Public Area Electricity</t>
        </is>
      </c>
      <c r="C23" s="41" t="n">
        <v>-180</v>
      </c>
      <c r="D23" s="22" t="inlineStr">
        <is>
          <t>5300: Utilities</t>
        </is>
      </c>
      <c r="E23" s="22" t="inlineStr">
        <is>
          <t>123 Maple St Apartments</t>
        </is>
      </c>
      <c r="F23" s="21" t="inlineStr">
        <is>
          <t>Payment</t>
        </is>
      </c>
    </row>
    <row r="24">
      <c r="A24" s="40" t="inlineStr">
        <is>
          <t>2026-03-01</t>
        </is>
      </c>
      <c r="B24" s="9" t="inlineStr">
        <is>
          <t>Commercial Bank NY - Mortgage Payment</t>
        </is>
      </c>
      <c r="C24" s="42" t="n">
        <v>-4200</v>
      </c>
      <c r="D24" s="9" t="inlineStr">
        <is>
          <t>5600: Interest ($3,195) &amp; 2500: Principal ($1,005)</t>
        </is>
      </c>
      <c r="E24" s="9" t="inlineStr">
        <is>
          <t>123 Maple St Apartments</t>
        </is>
      </c>
      <c r="F24" s="24" t="inlineStr">
        <is>
          <t>Payment</t>
        </is>
      </c>
    </row>
    <row r="25">
      <c r="A25" s="39" t="inlineStr">
        <is>
          <t>2026-03-05</t>
        </is>
      </c>
      <c r="B25" s="22" t="inlineStr">
        <is>
          <t>Apex Property Mgmt - Mar Rental Income Consolidated</t>
        </is>
      </c>
      <c r="C25" s="27" t="n">
        <v>7200</v>
      </c>
      <c r="D25" s="22" t="inlineStr">
        <is>
          <t>4100: Rental Income ($1,800 x 4)</t>
        </is>
      </c>
      <c r="E25" s="22" t="inlineStr">
        <is>
          <t>123 Maple St Apartments</t>
        </is>
      </c>
      <c r="F25" s="21" t="inlineStr">
        <is>
          <t>Deposit</t>
        </is>
      </c>
    </row>
    <row r="26">
      <c r="A26" s="40" t="inlineStr">
        <is>
          <t>2026-03-07</t>
        </is>
      </c>
      <c r="B26" s="9" t="inlineStr">
        <is>
          <t>Apex Property Mgmt - Management Fee Mar</t>
        </is>
      </c>
      <c r="C26" s="42" t="n">
        <v>-576</v>
      </c>
      <c r="D26" s="9" t="inlineStr">
        <is>
          <t>5100: Property Management Fees (8% of $7,200)</t>
        </is>
      </c>
      <c r="E26" s="9" t="inlineStr">
        <is>
          <t>123 Maple St Apartments</t>
        </is>
      </c>
      <c r="F26" s="24" t="inlineStr">
        <is>
          <t>Payment</t>
        </is>
      </c>
    </row>
    <row r="27">
      <c r="A27" s="39" t="inlineStr">
        <is>
          <t>2026-03-15</t>
        </is>
      </c>
      <c r="B27" s="22" t="inlineStr">
        <is>
          <t>Rapid Rooter Plumbing - Tenant Plumbing Repair (1A)</t>
        </is>
      </c>
      <c r="C27" s="41" t="n">
        <v>-450</v>
      </c>
      <c r="D27" s="22" t="inlineStr">
        <is>
          <t>5200: Repairs &amp; Maintenance</t>
        </is>
      </c>
      <c r="E27" s="22" t="inlineStr">
        <is>
          <t>Unit 1A</t>
        </is>
      </c>
      <c r="F27" s="21" t="inlineStr">
        <is>
          <t>Payment</t>
        </is>
      </c>
    </row>
    <row r="28">
      <c r="A28" s="40" t="inlineStr">
        <is>
          <t>2026-04-01</t>
        </is>
      </c>
      <c r="B28" s="9" t="inlineStr">
        <is>
          <t>Commercial Bank NY - Mortgage Payment</t>
        </is>
      </c>
      <c r="C28" s="42" t="n">
        <v>-4200</v>
      </c>
      <c r="D28" s="9" t="inlineStr">
        <is>
          <t>5600: Interest ($3,190) &amp; 2500: Principal ($1,010)</t>
        </is>
      </c>
      <c r="E28" s="9" t="inlineStr">
        <is>
          <t>123 Maple St Apartments</t>
        </is>
      </c>
      <c r="F28" s="24" t="inlineStr">
        <is>
          <t>Payment</t>
        </is>
      </c>
    </row>
    <row r="29">
      <c r="A29" s="39" t="inlineStr">
        <is>
          <t>2026-04-05</t>
        </is>
      </c>
      <c r="B29" s="22" t="inlineStr">
        <is>
          <t>Apex Property Mgmt - Apr Rental Income Consolidated</t>
        </is>
      </c>
      <c r="C29" s="27" t="n">
        <v>7200</v>
      </c>
      <c r="D29" s="22" t="inlineStr">
        <is>
          <t>4100: Rental Income ($1,800 x 4)</t>
        </is>
      </c>
      <c r="E29" s="22" t="inlineStr">
        <is>
          <t>123 Maple St Apartments</t>
        </is>
      </c>
      <c r="F29" s="21" t="inlineStr">
        <is>
          <t>Deposit</t>
        </is>
      </c>
    </row>
    <row r="30">
      <c r="A30" s="40" t="inlineStr">
        <is>
          <t>2026-04-07</t>
        </is>
      </c>
      <c r="B30" s="9" t="inlineStr">
        <is>
          <t>Apex Property Mgmt - Management Fee Apr</t>
        </is>
      </c>
      <c r="C30" s="42" t="n">
        <v>-576</v>
      </c>
      <c r="D30" s="9" t="inlineStr">
        <is>
          <t>5100: Property Management Fees (8% of $7,200)</t>
        </is>
      </c>
      <c r="E30" s="9" t="inlineStr">
        <is>
          <t>123 Maple St Apartments</t>
        </is>
      </c>
      <c r="F30" s="24" t="inlineStr">
        <is>
          <t>Payment</t>
        </is>
      </c>
    </row>
    <row r="31">
      <c r="A31" s="39" t="inlineStr">
        <is>
          <t>2026-04-12</t>
        </is>
      </c>
      <c r="B31" s="22" t="inlineStr">
        <is>
          <t>County Water Utility - Water &amp; Sewer Bill</t>
        </is>
      </c>
      <c r="C31" s="41" t="n">
        <v>-370</v>
      </c>
      <c r="D31" s="22" t="inlineStr">
        <is>
          <t>5300: Utilities</t>
        </is>
      </c>
      <c r="E31" s="22" t="inlineStr">
        <is>
          <t>123 Maple St Apartments</t>
        </is>
      </c>
      <c r="F31" s="21" t="inlineStr">
        <is>
          <t>Payment</t>
        </is>
      </c>
    </row>
    <row r="32">
      <c r="A32" s="40" t="inlineStr">
        <is>
          <t>2026-04-14</t>
        </is>
      </c>
      <c r="B32" s="9" t="inlineStr">
        <is>
          <t>City Trash Services - Waste Removal</t>
        </is>
      </c>
      <c r="C32" s="42" t="n">
        <v>-120</v>
      </c>
      <c r="D32" s="9" t="inlineStr">
        <is>
          <t>5300: Utilities</t>
        </is>
      </c>
      <c r="E32" s="9" t="inlineStr">
        <is>
          <t>123 Maple St Apartments</t>
        </is>
      </c>
      <c r="F32" s="24" t="inlineStr">
        <is>
          <t>Payment</t>
        </is>
      </c>
    </row>
    <row r="33">
      <c r="A33" s="39" t="inlineStr">
        <is>
          <t>2026-04-15</t>
        </is>
      </c>
      <c r="B33" s="22" t="inlineStr">
        <is>
          <t>National Grid - Public Area Electricity</t>
        </is>
      </c>
      <c r="C33" s="41" t="n">
        <v>-175</v>
      </c>
      <c r="D33" s="22" t="inlineStr">
        <is>
          <t>5300: Utilities</t>
        </is>
      </c>
      <c r="E33" s="22" t="inlineStr">
        <is>
          <t>123 Maple St Apartments</t>
        </is>
      </c>
      <c r="F33" s="21" t="inlineStr">
        <is>
          <t>Payment</t>
        </is>
      </c>
    </row>
    <row r="34">
      <c r="A34" s="40" t="inlineStr">
        <is>
          <t>2026-04-20</t>
        </is>
      </c>
      <c r="B34" s="9" t="inlineStr">
        <is>
          <t>Greenscape Landscaping - Spring Clean Up &amp; Mulch</t>
        </is>
      </c>
      <c r="C34" s="42" t="n">
        <v>-650</v>
      </c>
      <c r="D34" s="9" t="inlineStr">
        <is>
          <t>5200: Repairs &amp; Maintenance</t>
        </is>
      </c>
      <c r="E34" s="9" t="inlineStr">
        <is>
          <t>123 Maple St Apartments</t>
        </is>
      </c>
      <c r="F34" s="24" t="inlineStr">
        <is>
          <t>Payment</t>
        </is>
      </c>
    </row>
    <row r="35">
      <c r="A35" s="39" t="inlineStr">
        <is>
          <t>2026-04-28</t>
        </is>
      </c>
      <c r="B35" s="22" t="inlineStr">
        <is>
          <t>Business Credit Card - Monthly Autopay checking</t>
        </is>
      </c>
      <c r="C35" s="41" t="n">
        <v>-535</v>
      </c>
      <c r="D35" s="22" t="inlineStr">
        <is>
          <t>Transfer: Payment to Credit Card liability</t>
        </is>
      </c>
      <c r="E35" s="22" t="inlineStr">
        <is>
          <t>123 Maple St Apartments</t>
        </is>
      </c>
      <c r="F35" s="21" t="inlineStr">
        <is>
          <t>Payment</t>
        </is>
      </c>
    </row>
    <row r="36">
      <c r="A36" s="40" t="inlineStr">
        <is>
          <t>2026-05-01</t>
        </is>
      </c>
      <c r="B36" s="9" t="inlineStr">
        <is>
          <t>Commercial Bank NY - Mortgage Payment</t>
        </is>
      </c>
      <c r="C36" s="42" t="n">
        <v>-4200</v>
      </c>
      <c r="D36" s="9" t="inlineStr">
        <is>
          <t>5600: Interest ($3,185) &amp; 2500: Principal ($1,015)</t>
        </is>
      </c>
      <c r="E36" s="9" t="inlineStr">
        <is>
          <t>123 Maple St Apartments</t>
        </is>
      </c>
      <c r="F36" s="24" t="inlineStr">
        <is>
          <t>Payment</t>
        </is>
      </c>
    </row>
    <row r="37">
      <c r="A37" s="39" t="inlineStr">
        <is>
          <t>2026-05-05</t>
        </is>
      </c>
      <c r="B37" s="22" t="inlineStr">
        <is>
          <t>Apex Property Mgmt - May Rental Income Consolidated</t>
        </is>
      </c>
      <c r="C37" s="27" t="n">
        <v>7300</v>
      </c>
      <c r="D37" s="22" t="inlineStr">
        <is>
          <t>4100: Rental Income ($7,200) + 4200: Late Fee Unit 2B ($100)</t>
        </is>
      </c>
      <c r="E37" s="22" t="inlineStr">
        <is>
          <t>123 Maple St Apartments</t>
        </is>
      </c>
      <c r="F37" s="21" t="inlineStr">
        <is>
          <t>Deposit</t>
        </is>
      </c>
    </row>
    <row r="38">
      <c r="A38" s="40" t="inlineStr">
        <is>
          <t>2026-05-07</t>
        </is>
      </c>
      <c r="B38" s="9" t="inlineStr">
        <is>
          <t>Apex Property Mgmt - Management Fee May</t>
        </is>
      </c>
      <c r="C38" s="42" t="n">
        <v>-584</v>
      </c>
      <c r="D38" s="9" t="inlineStr">
        <is>
          <t>5100: Property Management Fees (8% of $7,300)</t>
        </is>
      </c>
      <c r="E38" s="9" t="inlineStr">
        <is>
          <t>123 Maple St Apartments</t>
        </is>
      </c>
      <c r="F38" s="24" t="inlineStr">
        <is>
          <t>Payment</t>
        </is>
      </c>
    </row>
    <row r="39">
      <c r="A39" s="39" t="inlineStr">
        <is>
          <t>2026-06-01</t>
        </is>
      </c>
      <c r="B39" s="22" t="inlineStr">
        <is>
          <t>Commercial Bank NY - Mortgage Payment</t>
        </is>
      </c>
      <c r="C39" s="41" t="n">
        <v>-4200</v>
      </c>
      <c r="D39" s="22" t="inlineStr">
        <is>
          <t>5600: Interest ($3,180) &amp; 2500: Principal ($1,020)</t>
        </is>
      </c>
      <c r="E39" s="22" t="inlineStr">
        <is>
          <t>123 Maple St Apartments</t>
        </is>
      </c>
      <c r="F39" s="21" t="inlineStr">
        <is>
          <t>Payment</t>
        </is>
      </c>
    </row>
    <row r="40">
      <c r="A40" s="40" t="inlineStr">
        <is>
          <t>2026-06-05</t>
        </is>
      </c>
      <c r="B40" s="9" t="inlineStr">
        <is>
          <t>Apex Property Mgmt - Jun Rental Income Consolidated</t>
        </is>
      </c>
      <c r="C40" s="30" t="n">
        <v>7200</v>
      </c>
      <c r="D40" s="9" t="inlineStr">
        <is>
          <t>4100: Rental Income ($1,800 x 4)</t>
        </is>
      </c>
      <c r="E40" s="9" t="inlineStr">
        <is>
          <t>123 Maple St Apartments</t>
        </is>
      </c>
      <c r="F40" s="24" t="inlineStr">
        <is>
          <t>Deposit</t>
        </is>
      </c>
    </row>
    <row r="41">
      <c r="A41" s="39" t="inlineStr">
        <is>
          <t>2026-06-07</t>
        </is>
      </c>
      <c r="B41" s="22" t="inlineStr">
        <is>
          <t>Apex Property Mgmt - Management Fee Jun</t>
        </is>
      </c>
      <c r="C41" s="41" t="n">
        <v>-576</v>
      </c>
      <c r="D41" s="22" t="inlineStr">
        <is>
          <t>5100: Property Management Fees (8% of $7,200)</t>
        </is>
      </c>
      <c r="E41" s="22" t="inlineStr">
        <is>
          <t>123 Maple St Apartments</t>
        </is>
      </c>
      <c r="F41" s="21" t="inlineStr">
        <is>
          <t>Payment</t>
        </is>
      </c>
    </row>
    <row r="42">
      <c r="A42" s="40" t="inlineStr">
        <is>
          <t>2026-06-10</t>
        </is>
      </c>
      <c r="B42" s="9" t="inlineStr">
        <is>
          <t>County Water Utility - Water &amp; Sewer Bill</t>
        </is>
      </c>
      <c r="C42" s="42" t="n">
        <v>-390</v>
      </c>
      <c r="D42" s="9" t="inlineStr">
        <is>
          <t>5300: Utilities</t>
        </is>
      </c>
      <c r="E42" s="9" t="inlineStr">
        <is>
          <t>123 Maple St Apartments</t>
        </is>
      </c>
      <c r="F42" s="24" t="inlineStr">
        <is>
          <t>Payment</t>
        </is>
      </c>
    </row>
    <row r="43">
      <c r="A43" s="39" t="inlineStr">
        <is>
          <t>2026-06-12</t>
        </is>
      </c>
      <c r="B43" s="22" t="inlineStr">
        <is>
          <t>City Trash Services - Waste Removal</t>
        </is>
      </c>
      <c r="C43" s="41" t="n">
        <v>-120</v>
      </c>
      <c r="D43" s="22" t="inlineStr">
        <is>
          <t>5300: Utilities</t>
        </is>
      </c>
      <c r="E43" s="22" t="inlineStr">
        <is>
          <t>123 Maple St Apartments</t>
        </is>
      </c>
      <c r="F43" s="21" t="inlineStr">
        <is>
          <t>Payment</t>
        </is>
      </c>
    </row>
    <row r="44">
      <c r="A44" s="40" t="inlineStr">
        <is>
          <t>2026-06-13</t>
        </is>
      </c>
      <c r="B44" s="9" t="inlineStr">
        <is>
          <t>National Grid - Public Area Electricity</t>
        </is>
      </c>
      <c r="C44" s="42" t="n">
        <v>-190</v>
      </c>
      <c r="D44" s="9" t="inlineStr">
        <is>
          <t>5300: Utilities</t>
        </is>
      </c>
      <c r="E44" s="9" t="inlineStr">
        <is>
          <t>123 Maple St Apartments</t>
        </is>
      </c>
      <c r="F44" s="24" t="inlineStr">
        <is>
          <t>Payment</t>
        </is>
      </c>
    </row>
    <row r="45">
      <c r="A45" s="39" t="inlineStr">
        <is>
          <t>2026-06-15</t>
        </is>
      </c>
      <c r="B45" s="22" t="inlineStr">
        <is>
          <t>Climate Control HVAC - Quarterly AC Service</t>
        </is>
      </c>
      <c r="C45" s="41" t="n">
        <v>-350</v>
      </c>
      <c r="D45" s="22" t="inlineStr">
        <is>
          <t>5200: Repairs &amp; Maintenance</t>
        </is>
      </c>
      <c r="E45" s="22" t="inlineStr">
        <is>
          <t>123 Maple St Apartments</t>
        </is>
      </c>
      <c r="F45" s="21" t="inlineStr">
        <is>
          <t>Payment</t>
        </is>
      </c>
    </row>
    <row r="46">
      <c r="A46" s="40" t="inlineStr">
        <is>
          <t>2026-06-20</t>
        </is>
      </c>
      <c r="B46" s="9" t="inlineStr">
        <is>
          <t>County Tax Collector - Property Tax Bill</t>
        </is>
      </c>
      <c r="C46" s="42" t="n">
        <v>-2400</v>
      </c>
      <c r="D46" s="9" t="inlineStr">
        <is>
          <t>5500: Property Tax Expense</t>
        </is>
      </c>
      <c r="E46" s="9" t="inlineStr">
        <is>
          <t>123 Maple St Apartments</t>
        </is>
      </c>
      <c r="F46" s="24" t="inlineStr">
        <is>
          <t>Payment</t>
        </is>
      </c>
    </row>
    <row r="47">
      <c r="A47" s="39" t="inlineStr">
        <is>
          <t>2026-06-30</t>
        </is>
      </c>
      <c r="B47" s="22" t="inlineStr">
        <is>
          <t>Transfer from Security Deposit Trust Account</t>
        </is>
      </c>
      <c r="C47" s="27" t="n">
        <v>7200</v>
      </c>
      <c r="D47" s="22" t="inlineStr">
        <is>
          <t>1200: Trust Checking (Transfer between bank accounts)</t>
        </is>
      </c>
      <c r="E47" s="22" t="inlineStr">
        <is>
          <t>123 Maple St Apartments</t>
        </is>
      </c>
      <c r="F47" s="21" t="inlineStr">
        <is>
          <t>Deposit</t>
        </is>
      </c>
    </row>
    <row r="48">
      <c r="A48" s="40" t="inlineStr">
        <is>
          <t>2026-06-30</t>
        </is>
      </c>
      <c r="B48" s="9" t="inlineStr">
        <is>
          <t>Apex Property Mgmt - Return of Tenant Security Deposits</t>
        </is>
      </c>
      <c r="C48" s="42" t="n">
        <v>-7200</v>
      </c>
      <c r="D48" s="9" t="inlineStr">
        <is>
          <t>2200: Tenant Security Deposits (Refundable)</t>
        </is>
      </c>
      <c r="E48" s="9" t="inlineStr">
        <is>
          <t>123 Maple St Apartments</t>
        </is>
      </c>
      <c r="F48" s="24" t="inlineStr">
        <is>
          <t>Payment</t>
        </is>
      </c>
    </row>
    <row r="49">
      <c r="A49" s="39" t="inlineStr">
        <is>
          <t>2026-06-30</t>
        </is>
      </c>
      <c r="B49" s="22" t="inlineStr">
        <is>
          <t>Business Credit Card - Final Settlement Payoff</t>
        </is>
      </c>
      <c r="C49" s="41" t="n">
        <v>-490</v>
      </c>
      <c r="D49" s="22" t="inlineStr">
        <is>
          <t>Transfer: Payment to Credit Card liability</t>
        </is>
      </c>
      <c r="E49" s="22" t="inlineStr">
        <is>
          <t>123 Maple St Apartments</t>
        </is>
      </c>
      <c r="F49" s="21" t="inlineStr">
        <is>
          <t>Payment</t>
        </is>
      </c>
    </row>
    <row r="50">
      <c r="A50" s="40" t="inlineStr">
        <is>
          <t>2026-06-30</t>
        </is>
      </c>
      <c r="B50" s="9" t="inlineStr">
        <is>
          <t>Owner Draw - Transfer to Personal Account</t>
        </is>
      </c>
      <c r="C50" s="42" t="n">
        <v>-5000</v>
      </c>
      <c r="D50" s="9" t="inlineStr">
        <is>
          <t>3100: Owner's Draw (Equity payout)</t>
        </is>
      </c>
      <c r="E50" s="9" t="inlineStr">
        <is>
          <t>123 Maple St Apartments</t>
        </is>
      </c>
      <c r="F50" s="24" t="inlineStr">
        <is>
          <t>Payment</t>
        </is>
      </c>
    </row>
    <row r="51">
      <c r="A51" s="39" t="inlineStr">
        <is>
          <t>2026-06-30</t>
        </is>
      </c>
      <c r="B51" s="22" t="inlineStr">
        <is>
          <t>Acquisition Title Escrow Co - Net Sale Proceeds</t>
        </is>
      </c>
      <c r="C51" s="27" t="n">
        <v>253950</v>
      </c>
      <c r="D51" s="22" t="inlineStr">
        <is>
          <t>JE: Property disposal transaction net deposit</t>
        </is>
      </c>
      <c r="E51" s="22" t="inlineStr">
        <is>
          <t>123 Maple St Apartments</t>
        </is>
      </c>
      <c r="F51" s="21" t="inlineStr">
        <is>
          <t>Deposit</t>
        </is>
      </c>
    </row>
  </sheetData>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F18"/>
  <sheetViews>
    <sheetView showGridLines="1" workbookViewId="0">
      <selection activeCell="A1" sqref="A1"/>
    </sheetView>
  </sheetViews>
  <sheetFormatPr baseColWidth="8" defaultRowHeight="15"/>
  <cols>
    <col width="15" customWidth="1" min="1" max="1"/>
    <col width="45" customWidth="1" min="2" max="2"/>
    <col width="15" customWidth="1" min="3" max="3"/>
    <col width="50" customWidth="1" min="4" max="4"/>
    <col width="25" customWidth="1" min="5" max="5"/>
    <col width="18" customWidth="1" min="6" max="6"/>
  </cols>
  <sheetData>
    <row r="1">
      <c r="A1" s="19" t="inlineStr">
        <is>
          <t>Business Credit Card Statement / Feed</t>
        </is>
      </c>
    </row>
    <row r="2">
      <c r="A2" s="2" t="inlineStr">
        <is>
          <t>Expenses charged to the business card (repaired items, office supplies, software, marketing).</t>
        </is>
      </c>
    </row>
    <row r="4">
      <c r="A4" s="20" t="inlineStr">
        <is>
          <t>Date</t>
        </is>
      </c>
      <c r="B4" s="20" t="inlineStr">
        <is>
          <t>Description / Payee</t>
        </is>
      </c>
      <c r="C4" s="20" t="inlineStr">
        <is>
          <t>Amount ($)</t>
        </is>
      </c>
      <c r="D4" s="20" t="inlineStr">
        <is>
          <t>Account Mapping Guidance</t>
        </is>
      </c>
      <c r="E4" s="20" t="inlineStr">
        <is>
          <t>Class / Property Tag</t>
        </is>
      </c>
      <c r="F4" s="20" t="inlineStr">
        <is>
          <t>Payment / Charge</t>
        </is>
      </c>
    </row>
    <row r="5">
      <c r="A5" s="39" t="inlineStr">
        <is>
          <t>2026-01-20</t>
        </is>
      </c>
      <c r="B5" s="22" t="inlineStr">
        <is>
          <t>Staples - Office Supplies &amp; Paperwork folders</t>
        </is>
      </c>
      <c r="C5" s="41" t="n">
        <v>-85</v>
      </c>
      <c r="D5" s="22" t="inlineStr">
        <is>
          <t>5700: Professional &amp; Software Fees (Office Supplies)</t>
        </is>
      </c>
      <c r="E5" s="22" t="inlineStr">
        <is>
          <t>123 Maple St Apartments</t>
        </is>
      </c>
      <c r="F5" s="21" t="inlineStr">
        <is>
          <t>Charge</t>
        </is>
      </c>
    </row>
    <row r="6">
      <c r="A6" s="40" t="inlineStr">
        <is>
          <t>2026-01-25</t>
        </is>
      </c>
      <c r="B6" s="9" t="inlineStr">
        <is>
          <t>Intuit QuickBooks - Monthly Software Subscription</t>
        </is>
      </c>
      <c r="C6" s="42" t="n">
        <v>-75</v>
      </c>
      <c r="D6" s="9" t="inlineStr">
        <is>
          <t>5700: Professional &amp; Software Fees (Software)</t>
        </is>
      </c>
      <c r="E6" s="9" t="inlineStr">
        <is>
          <t>123 Maple St Apartments</t>
        </is>
      </c>
      <c r="F6" s="24" t="inlineStr">
        <is>
          <t>Charge</t>
        </is>
      </c>
    </row>
    <row r="7">
      <c r="A7" s="39" t="inlineStr">
        <is>
          <t>2026-01-28</t>
        </is>
      </c>
      <c r="B7" s="22" t="inlineStr">
        <is>
          <t>Zillow Premier Agent - Tenant Acquisition Rental Listing</t>
        </is>
      </c>
      <c r="C7" s="41" t="n">
        <v>-150</v>
      </c>
      <c r="D7" s="22" t="inlineStr">
        <is>
          <t>5800: Marketing &amp; Advertising</t>
        </is>
      </c>
      <c r="E7" s="22" t="inlineStr">
        <is>
          <t>123 Maple St Apartments</t>
        </is>
      </c>
      <c r="F7" s="21" t="inlineStr">
        <is>
          <t>Charge</t>
        </is>
      </c>
    </row>
    <row r="8">
      <c r="A8" s="40" t="inlineStr">
        <is>
          <t>2026-02-15</t>
        </is>
      </c>
      <c r="B8" s="9" t="inlineStr">
        <is>
          <t>Home Depot - Smoke Detector Batteries &amp; LED bulbs</t>
        </is>
      </c>
      <c r="C8" s="42" t="n">
        <v>-45</v>
      </c>
      <c r="D8" s="9" t="inlineStr">
        <is>
          <t>5200: Repairs &amp; Maintenance</t>
        </is>
      </c>
      <c r="E8" s="9" t="inlineStr">
        <is>
          <t>123 Maple St Apartments</t>
        </is>
      </c>
      <c r="F8" s="24" t="inlineStr">
        <is>
          <t>Charge</t>
        </is>
      </c>
    </row>
    <row r="9">
      <c r="A9" s="39" t="inlineStr">
        <is>
          <t>2026-02-25</t>
        </is>
      </c>
      <c r="B9" s="22" t="inlineStr">
        <is>
          <t>Intuit QuickBooks - Monthly Software Subscription</t>
        </is>
      </c>
      <c r="C9" s="41" t="n">
        <v>-75</v>
      </c>
      <c r="D9" s="22" t="inlineStr">
        <is>
          <t>5700: Professional &amp; Software Fees (Software)</t>
        </is>
      </c>
      <c r="E9" s="22" t="inlineStr">
        <is>
          <t>123 Maple St Apartments</t>
        </is>
      </c>
      <c r="F9" s="21" t="inlineStr">
        <is>
          <t>Charge</t>
        </is>
      </c>
    </row>
    <row r="10">
      <c r="A10" s="40" t="inlineStr">
        <is>
          <t>2026-03-22</t>
        </is>
      </c>
      <c r="B10" s="9" t="inlineStr">
        <is>
          <t>Ace Hardware - Replacement lockset Unit 2B</t>
        </is>
      </c>
      <c r="C10" s="42" t="n">
        <v>-65</v>
      </c>
      <c r="D10" s="9" t="inlineStr">
        <is>
          <t>5200: Repairs &amp; Maintenance</t>
        </is>
      </c>
      <c r="E10" s="9" t="inlineStr">
        <is>
          <t>Unit 2B</t>
        </is>
      </c>
      <c r="F10" s="24" t="inlineStr">
        <is>
          <t>Charge</t>
        </is>
      </c>
    </row>
    <row r="11">
      <c r="A11" s="39" t="inlineStr">
        <is>
          <t>2026-03-25</t>
        </is>
      </c>
      <c r="B11" s="22" t="inlineStr">
        <is>
          <t>Intuit QuickBooks - Monthly Software Subscription</t>
        </is>
      </c>
      <c r="C11" s="41" t="n">
        <v>-75</v>
      </c>
      <c r="D11" s="22" t="inlineStr">
        <is>
          <t>5700: Professional &amp; Software Fees (Software)</t>
        </is>
      </c>
      <c r="E11" s="22" t="inlineStr">
        <is>
          <t>123 Maple St Apartments</t>
        </is>
      </c>
      <c r="F11" s="21" t="inlineStr">
        <is>
          <t>Charge</t>
        </is>
      </c>
    </row>
    <row r="12">
      <c r="A12" s="40" t="inlineStr">
        <is>
          <t>2026-04-15</t>
        </is>
      </c>
      <c r="B12" s="9" t="inlineStr">
        <is>
          <t>Local Print Shop - Rental flyers &amp; Marketing brochures</t>
        </is>
      </c>
      <c r="C12" s="42" t="n">
        <v>-120</v>
      </c>
      <c r="D12" s="9" t="inlineStr">
        <is>
          <t>5800: Marketing &amp; Advertising</t>
        </is>
      </c>
      <c r="E12" s="9" t="inlineStr">
        <is>
          <t>123 Maple St Apartments</t>
        </is>
      </c>
      <c r="F12" s="24" t="inlineStr">
        <is>
          <t>Charge</t>
        </is>
      </c>
    </row>
    <row r="13">
      <c r="A13" s="39" t="inlineStr">
        <is>
          <t>2026-04-25</t>
        </is>
      </c>
      <c r="B13" s="22" t="inlineStr">
        <is>
          <t>Intuit QuickBooks - Monthly Software Subscription</t>
        </is>
      </c>
      <c r="C13" s="41" t="n">
        <v>-75</v>
      </c>
      <c r="D13" s="22" t="inlineStr">
        <is>
          <t>5700: Professional &amp; Software Fees (Software)</t>
        </is>
      </c>
      <c r="E13" s="22" t="inlineStr">
        <is>
          <t>123 Maple St Apartments</t>
        </is>
      </c>
      <c r="F13" s="21" t="inlineStr">
        <is>
          <t>Charge</t>
        </is>
      </c>
    </row>
    <row r="14">
      <c r="A14" s="40" t="inlineStr">
        <is>
          <t>2026-04-28</t>
        </is>
      </c>
      <c r="B14" s="9" t="inlineStr">
        <is>
          <t>Business CC Autopay Payment - Received</t>
        </is>
      </c>
      <c r="C14" s="30" t="n">
        <v>535</v>
      </c>
      <c r="D14" s="9" t="inlineStr">
        <is>
          <t>Transfer: CC Autopay Payment from Checking</t>
        </is>
      </c>
      <c r="E14" s="9" t="inlineStr">
        <is>
          <t>123 Maple St Apartments</t>
        </is>
      </c>
      <c r="F14" s="24" t="inlineStr">
        <is>
          <t>Payment</t>
        </is>
      </c>
    </row>
    <row r="15">
      <c r="A15" s="39" t="inlineStr">
        <is>
          <t>2026-05-25</t>
        </is>
      </c>
      <c r="B15" s="22" t="inlineStr">
        <is>
          <t>Intuit QuickBooks - Monthly Software Subscription</t>
        </is>
      </c>
      <c r="C15" s="41" t="n">
        <v>-75</v>
      </c>
      <c r="D15" s="22" t="inlineStr">
        <is>
          <t>5700: Professional &amp; Software Fees (Software)</t>
        </is>
      </c>
      <c r="E15" s="22" t="inlineStr">
        <is>
          <t>123 Maple St Apartments</t>
        </is>
      </c>
      <c r="F15" s="21" t="inlineStr">
        <is>
          <t>Charge</t>
        </is>
      </c>
    </row>
    <row r="16">
      <c r="A16" s="40" t="inlineStr">
        <is>
          <t>2026-05-28</t>
        </is>
      </c>
      <c r="B16" s="9" t="inlineStr">
        <is>
          <t>Facebook Ads - Rental Marketing Campaign</t>
        </is>
      </c>
      <c r="C16" s="42" t="n">
        <v>-110</v>
      </c>
      <c r="D16" s="9" t="inlineStr">
        <is>
          <t>5800: Marketing &amp; Advertising</t>
        </is>
      </c>
      <c r="E16" s="9" t="inlineStr">
        <is>
          <t>123 Maple St Apartments</t>
        </is>
      </c>
      <c r="F16" s="24" t="inlineStr">
        <is>
          <t>Charge</t>
        </is>
      </c>
    </row>
    <row r="17">
      <c r="A17" s="39" t="inlineStr">
        <is>
          <t>2026-06-25</t>
        </is>
      </c>
      <c r="B17" s="22" t="inlineStr">
        <is>
          <t>Intuit QuickBooks - Monthly Software Subscription</t>
        </is>
      </c>
      <c r="C17" s="41" t="n">
        <v>-75</v>
      </c>
      <c r="D17" s="22" t="inlineStr">
        <is>
          <t>5700: Professional &amp; Software Fees (Software)</t>
        </is>
      </c>
      <c r="E17" s="22" t="inlineStr">
        <is>
          <t>123 Maple St Apartments</t>
        </is>
      </c>
      <c r="F17" s="21" t="inlineStr">
        <is>
          <t>Charge</t>
        </is>
      </c>
    </row>
    <row r="18">
      <c r="A18" s="40" t="inlineStr">
        <is>
          <t>2026-06-30</t>
        </is>
      </c>
      <c r="B18" s="9" t="inlineStr">
        <is>
          <t>Business CC Settlement Payoff - Received</t>
        </is>
      </c>
      <c r="C18" s="30" t="n">
        <v>490</v>
      </c>
      <c r="D18" s="9" t="inlineStr">
        <is>
          <t>Transfer: Final CC Payoff before Closing Accounts</t>
        </is>
      </c>
      <c r="E18" s="9" t="inlineStr">
        <is>
          <t>123 Maple St Apartments</t>
        </is>
      </c>
      <c r="F18" s="24" t="inlineStr">
        <is>
          <t>Payment</t>
        </is>
      </c>
    </row>
  </sheetData>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L9"/>
  <sheetViews>
    <sheetView showGridLines="1" workbookViewId="0">
      <selection activeCell="A1" sqref="A1"/>
    </sheetView>
  </sheetViews>
  <sheetFormatPr baseColWidth="8" defaultRowHeight="15"/>
  <cols>
    <col width="12" customWidth="1" min="1" max="1"/>
    <col width="20" customWidth="1" min="2" max="2"/>
    <col width="18" customWidth="1" min="3" max="3"/>
    <col width="20" customWidth="1" min="4" max="4"/>
    <col width="18" customWidth="1" min="5" max="5"/>
    <col width="18" customWidth="1" min="6" max="6"/>
    <col width="16" customWidth="1" min="7" max="7"/>
    <col width="16" customWidth="1" min="8" max="8"/>
    <col width="16" customWidth="1" min="9" max="9"/>
    <col width="16" customWidth="1" min="10" max="10"/>
    <col width="16" customWidth="1" min="11" max="11"/>
    <col width="16" customWidth="1" min="12" max="12"/>
  </cols>
  <sheetData>
    <row r="1">
      <c r="A1" s="19" t="inlineStr">
        <is>
          <t>Property Rent Roll &amp; Tenant Sub-Ledger</t>
        </is>
      </c>
    </row>
    <row r="2">
      <c r="A2" s="2" t="inlineStr">
        <is>
          <t>Rent roll as of June 30, 2026 for 123 Maple Street Apartments. Use this to verify tenant details and rent collection.</t>
        </is>
      </c>
    </row>
    <row r="4">
      <c r="A4" s="20" t="inlineStr">
        <is>
          <t>Unit #</t>
        </is>
      </c>
      <c r="B4" s="20" t="inlineStr">
        <is>
          <t>Tenant Name</t>
        </is>
      </c>
      <c r="C4" s="20" t="inlineStr">
        <is>
          <t>Monthly Rent ($)</t>
        </is>
      </c>
      <c r="D4" s="20" t="inlineStr">
        <is>
          <t>Security Deposit ($)</t>
        </is>
      </c>
      <c r="E4" s="20" t="inlineStr">
        <is>
          <t>Lease Start Date</t>
        </is>
      </c>
      <c r="F4" s="20" t="inlineStr">
        <is>
          <t>Lease End Date</t>
        </is>
      </c>
      <c r="G4" s="20" t="inlineStr">
        <is>
          <t>Jan Rent Status</t>
        </is>
      </c>
      <c r="H4" s="20" t="inlineStr">
        <is>
          <t>Feb Rent Status</t>
        </is>
      </c>
      <c r="I4" s="20" t="inlineStr">
        <is>
          <t>Mar Rent Status</t>
        </is>
      </c>
      <c r="J4" s="20" t="inlineStr">
        <is>
          <t>Apr Rent Status</t>
        </is>
      </c>
      <c r="K4" s="20" t="inlineStr">
        <is>
          <t>May Rent Status</t>
        </is>
      </c>
      <c r="L4" s="20" t="inlineStr">
        <is>
          <t>Jun Rent Status</t>
        </is>
      </c>
    </row>
    <row r="5">
      <c r="A5" s="43" t="inlineStr">
        <is>
          <t>Unit 1A</t>
        </is>
      </c>
      <c r="B5" s="21" t="inlineStr">
        <is>
          <t>Jane Doe</t>
        </is>
      </c>
      <c r="C5" s="27" t="n">
        <v>1800</v>
      </c>
      <c r="D5" s="27" t="n">
        <v>1800</v>
      </c>
      <c r="E5" s="39" t="inlineStr">
        <is>
          <t>2026-01-15</t>
        </is>
      </c>
      <c r="F5" s="39" t="inlineStr">
        <is>
          <t>2027-01-31</t>
        </is>
      </c>
      <c r="G5" s="21" t="inlineStr">
        <is>
          <t>Paid (Prorated)</t>
        </is>
      </c>
      <c r="H5" s="21" t="inlineStr">
        <is>
          <t>Paid</t>
        </is>
      </c>
      <c r="I5" s="21" t="inlineStr">
        <is>
          <t>Paid</t>
        </is>
      </c>
      <c r="J5" s="21" t="inlineStr">
        <is>
          <t>Paid</t>
        </is>
      </c>
      <c r="K5" s="21" t="inlineStr">
        <is>
          <t>Paid</t>
        </is>
      </c>
      <c r="L5" s="21" t="inlineStr">
        <is>
          <t>Paid</t>
        </is>
      </c>
    </row>
    <row r="6">
      <c r="A6" s="44" t="inlineStr">
        <is>
          <t>Unit 1B</t>
        </is>
      </c>
      <c r="B6" s="24" t="inlineStr">
        <is>
          <t>John Smith</t>
        </is>
      </c>
      <c r="C6" s="30" t="n">
        <v>1800</v>
      </c>
      <c r="D6" s="30" t="n">
        <v>1800</v>
      </c>
      <c r="E6" s="40" t="inlineStr">
        <is>
          <t>2026-01-15</t>
        </is>
      </c>
      <c r="F6" s="40" t="inlineStr">
        <is>
          <t>2027-01-31</t>
        </is>
      </c>
      <c r="G6" s="24" t="inlineStr">
        <is>
          <t>Paid (Prorated)</t>
        </is>
      </c>
      <c r="H6" s="24" t="inlineStr">
        <is>
          <t>Paid</t>
        </is>
      </c>
      <c r="I6" s="24" t="inlineStr">
        <is>
          <t>Paid</t>
        </is>
      </c>
      <c r="J6" s="24" t="inlineStr">
        <is>
          <t>Paid</t>
        </is>
      </c>
      <c r="K6" s="24" t="inlineStr">
        <is>
          <t>Paid</t>
        </is>
      </c>
      <c r="L6" s="24" t="inlineStr">
        <is>
          <t>Paid</t>
        </is>
      </c>
    </row>
    <row r="7">
      <c r="A7" s="43" t="inlineStr">
        <is>
          <t>Unit 2A</t>
        </is>
      </c>
      <c r="B7" s="21" t="inlineStr">
        <is>
          <t>Alice Johnson</t>
        </is>
      </c>
      <c r="C7" s="27" t="n">
        <v>1800</v>
      </c>
      <c r="D7" s="27" t="n">
        <v>1800</v>
      </c>
      <c r="E7" s="39" t="inlineStr">
        <is>
          <t>2026-01-15</t>
        </is>
      </c>
      <c r="F7" s="39" t="inlineStr">
        <is>
          <t>2027-01-31</t>
        </is>
      </c>
      <c r="G7" s="21" t="inlineStr">
        <is>
          <t>Paid (Prorated)</t>
        </is>
      </c>
      <c r="H7" s="21" t="inlineStr">
        <is>
          <t>Paid</t>
        </is>
      </c>
      <c r="I7" s="21" t="inlineStr">
        <is>
          <t>Paid</t>
        </is>
      </c>
      <c r="J7" s="21" t="inlineStr">
        <is>
          <t>Paid</t>
        </is>
      </c>
      <c r="K7" s="21" t="inlineStr">
        <is>
          <t>Paid</t>
        </is>
      </c>
      <c r="L7" s="21" t="inlineStr">
        <is>
          <t>Paid</t>
        </is>
      </c>
    </row>
    <row r="8">
      <c r="A8" s="44" t="inlineStr">
        <is>
          <t>Unit 2B</t>
        </is>
      </c>
      <c r="B8" s="24" t="inlineStr">
        <is>
          <t>Bob Williams</t>
        </is>
      </c>
      <c r="C8" s="30" t="n">
        <v>1800</v>
      </c>
      <c r="D8" s="30" t="n">
        <v>1800</v>
      </c>
      <c r="E8" s="40" t="inlineStr">
        <is>
          <t>2026-01-15</t>
        </is>
      </c>
      <c r="F8" s="40" t="inlineStr">
        <is>
          <t>2027-01-31</t>
        </is>
      </c>
      <c r="G8" s="24" t="inlineStr">
        <is>
          <t>Paid (Prorated)</t>
        </is>
      </c>
      <c r="H8" s="24" t="inlineStr">
        <is>
          <t>Paid</t>
        </is>
      </c>
      <c r="I8" s="24" t="inlineStr">
        <is>
          <t>Paid</t>
        </is>
      </c>
      <c r="J8" s="24" t="inlineStr">
        <is>
          <t>Paid</t>
        </is>
      </c>
      <c r="K8" s="45" t="inlineStr">
        <is>
          <t>Paid + $100 Late Fee</t>
        </is>
      </c>
      <c r="L8" s="24" t="inlineStr">
        <is>
          <t>Paid</t>
        </is>
      </c>
    </row>
    <row r="9">
      <c r="A9" s="34" t="inlineStr">
        <is>
          <t>Totals</t>
        </is>
      </c>
      <c r="B9" s="35" t="inlineStr"/>
      <c r="C9" s="36">
        <f>SUM(C5:C8)</f>
        <v/>
      </c>
      <c r="D9" s="36">
        <f>SUM(D5:D8)</f>
        <v/>
      </c>
      <c r="E9" s="35" t="inlineStr"/>
      <c r="F9" s="35" t="inlineStr"/>
      <c r="G9" s="35" t="inlineStr"/>
      <c r="H9" s="35" t="inlineStr"/>
      <c r="I9" s="35" t="inlineStr"/>
      <c r="J9" s="35" t="inlineStr"/>
      <c r="K9" s="35" t="inlineStr"/>
      <c r="L9" s="35" t="inlineStr"/>
    </row>
  </sheetData>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J63"/>
  <sheetViews>
    <sheetView showGridLines="1" workbookViewId="0">
      <selection activeCell="A1" sqref="A1"/>
    </sheetView>
  </sheetViews>
  <sheetFormatPr baseColWidth="8" defaultRowHeight="15"/>
  <cols>
    <col width="38" customWidth="1" min="1" max="1"/>
    <col width="25" customWidth="1" min="2" max="2"/>
    <col width="25" customWidth="1" min="3" max="3"/>
    <col width="65" customWidth="1" min="4" max="4"/>
  </cols>
  <sheetData>
    <row r="1">
      <c r="A1" s="19" t="inlineStr">
        <is>
          <t>Target Financial Reports (Answer Key)</t>
        </is>
      </c>
    </row>
    <row r="2">
      <c r="A2" s="2" t="inlineStr">
        <is>
          <t>This represents the completed, reconciled Profit &amp; Loss and Balance Sheet for the entire 6-month period.</t>
        </is>
      </c>
    </row>
    <row r="4">
      <c r="A4" s="3" t="inlineStr">
        <is>
          <t>PROFIT &amp; LOSS STATEMENT: 123 MAPLE STREET APARTMENTS</t>
        </is>
      </c>
    </row>
    <row r="5">
      <c r="A5" s="2" t="inlineStr">
        <is>
          <t>January 1, 2026 - June 30, 2026</t>
        </is>
      </c>
    </row>
    <row r="7">
      <c r="A7" s="20" t="inlineStr">
        <is>
          <t>Category / Account</t>
        </is>
      </c>
      <c r="B7" s="20" t="inlineStr">
        <is>
          <t>Jan 2026</t>
        </is>
      </c>
      <c r="C7" s="20" t="inlineStr">
        <is>
          <t>Feb 2026</t>
        </is>
      </c>
      <c r="D7" s="20" t="inlineStr">
        <is>
          <t>Mar 2026</t>
        </is>
      </c>
      <c r="E7" s="20" t="inlineStr">
        <is>
          <t>Apr 2026</t>
        </is>
      </c>
      <c r="F7" s="20" t="inlineStr">
        <is>
          <t>May 2026</t>
        </is>
      </c>
      <c r="G7" s="20" t="inlineStr">
        <is>
          <t>Jun 2026</t>
        </is>
      </c>
      <c r="H7" s="20" t="inlineStr">
        <is>
          <t>Operating Total</t>
        </is>
      </c>
      <c r="I7" s="20" t="inlineStr">
        <is>
          <t>Property Sale*</t>
        </is>
      </c>
      <c r="J7" s="20" t="inlineStr">
        <is>
          <t>Grand Total</t>
        </is>
      </c>
    </row>
    <row r="8" ht="24" customHeight="1">
      <c r="A8" s="46" t="inlineStr">
        <is>
          <t>Revenue</t>
        </is>
      </c>
      <c r="B8" s="46" t="inlineStr"/>
      <c r="C8" s="46" t="inlineStr"/>
      <c r="D8" s="46" t="inlineStr"/>
      <c r="E8" s="46" t="inlineStr"/>
      <c r="F8" s="46" t="inlineStr"/>
      <c r="G8" s="46" t="inlineStr"/>
      <c r="H8" s="46" t="inlineStr"/>
      <c r="I8" s="46" t="inlineStr"/>
      <c r="J8" s="46" t="inlineStr"/>
    </row>
    <row r="9" ht="24" customHeight="1">
      <c r="A9" s="47" t="inlineStr">
        <is>
          <t xml:space="preserve">  Rental Income</t>
        </is>
      </c>
      <c r="B9" s="48" t="n">
        <v>3600</v>
      </c>
      <c r="C9" s="48" t="n">
        <v>7200</v>
      </c>
      <c r="D9" s="48" t="n">
        <v>7200</v>
      </c>
      <c r="E9" s="48" t="n">
        <v>7200</v>
      </c>
      <c r="F9" s="48" t="n">
        <v>7200</v>
      </c>
      <c r="G9" s="48" t="n">
        <v>7200</v>
      </c>
      <c r="H9" s="48">
        <f>SUM(B9:G9)</f>
        <v/>
      </c>
      <c r="I9" s="48" t="n">
        <v>0</v>
      </c>
      <c r="J9" s="48">
        <f>H9+I9</f>
        <v/>
      </c>
    </row>
    <row r="10" ht="24" customHeight="1">
      <c r="A10" s="47" t="inlineStr">
        <is>
          <t xml:space="preserve">  Late Fee Income</t>
        </is>
      </c>
      <c r="B10" s="48" t="n">
        <v>0</v>
      </c>
      <c r="C10" s="48" t="n">
        <v>0</v>
      </c>
      <c r="D10" s="48" t="n">
        <v>0</v>
      </c>
      <c r="E10" s="48" t="n">
        <v>0</v>
      </c>
      <c r="F10" s="48" t="n">
        <v>100</v>
      </c>
      <c r="G10" s="48" t="n">
        <v>0</v>
      </c>
      <c r="H10" s="48">
        <f>SUM(B10:G10)</f>
        <v/>
      </c>
      <c r="I10" s="48" t="n">
        <v>0</v>
      </c>
      <c r="J10" s="48">
        <f>H10+I10</f>
        <v/>
      </c>
    </row>
    <row r="11" ht="24" customHeight="1">
      <c r="A11" s="37" t="inlineStr">
        <is>
          <t>Total Revenue</t>
        </is>
      </c>
      <c r="B11" s="49">
        <f>SUM(B9:B10)</f>
        <v/>
      </c>
      <c r="C11" s="49">
        <f>SUM(C9:C10)</f>
        <v/>
      </c>
      <c r="D11" s="49">
        <f>SUM(D9:D10)</f>
        <v/>
      </c>
      <c r="E11" s="49">
        <f>SUM(E9:E10)</f>
        <v/>
      </c>
      <c r="F11" s="49">
        <f>SUM(F9:F10)</f>
        <v/>
      </c>
      <c r="G11" s="49">
        <f>SUM(G9:G10)</f>
        <v/>
      </c>
      <c r="H11" s="49">
        <f>SUM(H9:H10)</f>
        <v/>
      </c>
      <c r="I11" s="49">
        <f>SUM(I9:I10)</f>
        <v/>
      </c>
      <c r="J11" s="49">
        <f>SUM(J9:J10)</f>
        <v/>
      </c>
    </row>
    <row r="12" ht="24" customHeight="1">
      <c r="A12" s="46" t="inlineStr">
        <is>
          <t>Expenses</t>
        </is>
      </c>
      <c r="B12" s="46" t="inlineStr"/>
      <c r="C12" s="46" t="inlineStr"/>
      <c r="D12" s="46" t="inlineStr"/>
      <c r="E12" s="46" t="inlineStr"/>
      <c r="F12" s="46" t="inlineStr"/>
      <c r="G12" s="46" t="inlineStr"/>
      <c r="H12" s="46" t="inlineStr"/>
      <c r="I12" s="46" t="inlineStr"/>
      <c r="J12" s="46" t="inlineStr"/>
    </row>
    <row r="13" ht="24" customHeight="1">
      <c r="A13" s="47" t="inlineStr">
        <is>
          <t xml:space="preserve">  Property Management Fees</t>
        </is>
      </c>
      <c r="B13" s="48" t="n">
        <v>288</v>
      </c>
      <c r="C13" s="48" t="n">
        <v>576</v>
      </c>
      <c r="D13" s="48" t="n">
        <v>576</v>
      </c>
      <c r="E13" s="48" t="n">
        <v>576</v>
      </c>
      <c r="F13" s="48" t="n">
        <v>584</v>
      </c>
      <c r="G13" s="48" t="n">
        <v>576</v>
      </c>
      <c r="H13" s="48">
        <f>SUM(B13:G13)</f>
        <v/>
      </c>
      <c r="I13" s="48" t="n">
        <v>0</v>
      </c>
      <c r="J13" s="48">
        <f>H13+I13</f>
        <v/>
      </c>
    </row>
    <row r="14" ht="24" customHeight="1">
      <c r="A14" s="47" t="inlineStr">
        <is>
          <t xml:space="preserve">  Repairs &amp; Maintenance</t>
        </is>
      </c>
      <c r="B14" s="48" t="n">
        <v>0</v>
      </c>
      <c r="C14" s="48" t="n">
        <v>45</v>
      </c>
      <c r="D14" s="48" t="n">
        <v>515</v>
      </c>
      <c r="E14" s="48" t="n">
        <v>650</v>
      </c>
      <c r="F14" s="48" t="n">
        <v>0</v>
      </c>
      <c r="G14" s="48" t="n">
        <v>350</v>
      </c>
      <c r="H14" s="48">
        <f>SUM(B14:G14)</f>
        <v/>
      </c>
      <c r="I14" s="48" t="n">
        <v>0</v>
      </c>
      <c r="J14" s="48">
        <f>H14+I14</f>
        <v/>
      </c>
    </row>
    <row r="15" ht="24" customHeight="1">
      <c r="A15" s="47" t="inlineStr">
        <is>
          <t xml:space="preserve">  Utilities</t>
        </is>
      </c>
      <c r="B15" s="48" t="n">
        <v>0</v>
      </c>
      <c r="C15" s="48" t="n">
        <v>650</v>
      </c>
      <c r="D15" s="48" t="n">
        <v>0</v>
      </c>
      <c r="E15" s="48" t="n">
        <v>665</v>
      </c>
      <c r="F15" s="48" t="n">
        <v>0</v>
      </c>
      <c r="G15" s="48" t="n">
        <v>700</v>
      </c>
      <c r="H15" s="48">
        <f>SUM(B15:G15)</f>
        <v/>
      </c>
      <c r="I15" s="48" t="n">
        <v>0</v>
      </c>
      <c r="J15" s="48">
        <f>H15+I15</f>
        <v/>
      </c>
    </row>
    <row r="16" ht="24" customHeight="1">
      <c r="A16" s="47" t="inlineStr">
        <is>
          <t xml:space="preserve">  Insurance Expense</t>
        </is>
      </c>
      <c r="B16" s="48" t="n">
        <v>100</v>
      </c>
      <c r="C16" s="48" t="n">
        <v>200</v>
      </c>
      <c r="D16" s="48" t="n">
        <v>200</v>
      </c>
      <c r="E16" s="48" t="n">
        <v>200</v>
      </c>
      <c r="F16" s="48" t="n">
        <v>200</v>
      </c>
      <c r="G16" s="48" t="n">
        <v>200</v>
      </c>
      <c r="H16" s="48">
        <f>SUM(B16:G16)</f>
        <v/>
      </c>
      <c r="I16" s="48" t="n">
        <v>0</v>
      </c>
      <c r="J16" s="48">
        <f>H16+I16</f>
        <v/>
      </c>
    </row>
    <row r="17" ht="24" customHeight="1">
      <c r="A17" s="47" t="inlineStr">
        <is>
          <t xml:space="preserve">  Property Tax Expense</t>
        </is>
      </c>
      <c r="B17" s="48" t="n">
        <v>-2500</v>
      </c>
      <c r="C17" s="48" t="n">
        <v>0</v>
      </c>
      <c r="D17" s="48" t="n">
        <v>0</v>
      </c>
      <c r="E17" s="48" t="n">
        <v>0</v>
      </c>
      <c r="F17" s="48" t="n">
        <v>0</v>
      </c>
      <c r="G17" s="48" t="n">
        <v>2400</v>
      </c>
      <c r="H17" s="48">
        <f>SUM(B17:G17)</f>
        <v/>
      </c>
      <c r="I17" s="48" t="n">
        <v>2400</v>
      </c>
      <c r="J17" s="48">
        <f>H17+I17</f>
        <v/>
      </c>
    </row>
    <row r="18" ht="24" customHeight="1">
      <c r="A18" s="47" t="inlineStr">
        <is>
          <t xml:space="preserve">  Mortgage Interest Expense</t>
        </is>
      </c>
      <c r="B18" s="48" t="n">
        <v>0</v>
      </c>
      <c r="C18" s="48" t="n">
        <v>3200</v>
      </c>
      <c r="D18" s="48" t="n">
        <v>3195</v>
      </c>
      <c r="E18" s="48" t="n">
        <v>3190</v>
      </c>
      <c r="F18" s="48" t="n">
        <v>3185</v>
      </c>
      <c r="G18" s="48" t="n">
        <v>3180</v>
      </c>
      <c r="H18" s="48">
        <f>SUM(B18:G18)</f>
        <v/>
      </c>
      <c r="I18" s="48" t="n">
        <v>0</v>
      </c>
      <c r="J18" s="48">
        <f>H18+I18</f>
        <v/>
      </c>
    </row>
    <row r="19" ht="24" customHeight="1">
      <c r="A19" s="46" t="inlineStr">
        <is>
          <t xml:space="preserve">  Professional &amp; Software Fees</t>
        </is>
      </c>
      <c r="B19" s="46" t="n">
        <v>160</v>
      </c>
      <c r="C19" s="46" t="n">
        <v>75</v>
      </c>
      <c r="D19" s="46" t="n">
        <v>75</v>
      </c>
      <c r="E19" s="46" t="n">
        <v>75</v>
      </c>
      <c r="F19" s="46" t="n">
        <v>75</v>
      </c>
      <c r="G19" s="46" t="n">
        <v>75</v>
      </c>
      <c r="H19" s="46">
        <f>SUM(B19:G19)</f>
        <v/>
      </c>
      <c r="I19" s="46" t="n">
        <v>0</v>
      </c>
      <c r="J19" s="46">
        <f>H19+I19</f>
        <v/>
      </c>
    </row>
    <row r="20" ht="24" customHeight="1">
      <c r="A20" s="47" t="inlineStr">
        <is>
          <t xml:space="preserve">  Marketing &amp; Advertising</t>
        </is>
      </c>
      <c r="B20" s="48" t="n">
        <v>150</v>
      </c>
      <c r="C20" s="48" t="n">
        <v>0</v>
      </c>
      <c r="D20" s="48" t="n">
        <v>0</v>
      </c>
      <c r="E20" s="48" t="n">
        <v>120</v>
      </c>
      <c r="F20" s="48" t="n">
        <v>110</v>
      </c>
      <c r="G20" s="48" t="n">
        <v>0</v>
      </c>
      <c r="H20" s="48">
        <f>SUM(B20:G20)</f>
        <v/>
      </c>
      <c r="I20" s="48" t="n">
        <v>0</v>
      </c>
      <c r="J20" s="48">
        <f>H20+I20</f>
        <v/>
      </c>
    </row>
    <row r="21" ht="24" customHeight="1">
      <c r="A21" s="47" t="inlineStr">
        <is>
          <t xml:space="preserve">  Depreciation Expense</t>
        </is>
      </c>
      <c r="B21" s="48" t="n">
        <v>1061.5</v>
      </c>
      <c r="C21" s="48" t="n">
        <v>2123</v>
      </c>
      <c r="D21" s="48" t="n">
        <v>2123</v>
      </c>
      <c r="E21" s="48" t="n">
        <v>2123</v>
      </c>
      <c r="F21" s="48" t="n">
        <v>2123</v>
      </c>
      <c r="G21" s="48" t="n">
        <v>2123</v>
      </c>
      <c r="H21" s="48">
        <f>SUM(B21:G21)</f>
        <v/>
      </c>
      <c r="I21" s="48" t="n">
        <v>0</v>
      </c>
      <c r="J21" s="48">
        <f>H21+I21</f>
        <v/>
      </c>
    </row>
    <row r="22" ht="24" customHeight="1">
      <c r="A22" s="37" t="inlineStr">
        <is>
          <t>Total Expenses</t>
        </is>
      </c>
      <c r="B22" s="49">
        <f>SUM(B13:B21)</f>
        <v/>
      </c>
      <c r="C22" s="49">
        <f>SUM(C13:C21)</f>
        <v/>
      </c>
      <c r="D22" s="49">
        <f>SUM(D13:D21)</f>
        <v/>
      </c>
      <c r="E22" s="49">
        <f>SUM(E13:E21)</f>
        <v/>
      </c>
      <c r="F22" s="49">
        <f>SUM(F13:F21)</f>
        <v/>
      </c>
      <c r="G22" s="49">
        <f>SUM(G13:G21)</f>
        <v/>
      </c>
      <c r="H22" s="49">
        <f>SUM(H13:H21)</f>
        <v/>
      </c>
      <c r="I22" s="49">
        <f>SUM(I13:I21)</f>
        <v/>
      </c>
      <c r="J22" s="49">
        <f>SUM(J13:J21)</f>
        <v/>
      </c>
    </row>
    <row r="23" ht="24" customHeight="1">
      <c r="A23" s="47" t="inlineStr">
        <is>
          <t>Net Operating Income (NOI)</t>
        </is>
      </c>
      <c r="B23" s="48">
        <f>B11-B22</f>
        <v/>
      </c>
      <c r="C23" s="48">
        <f>C11-C22</f>
        <v/>
      </c>
      <c r="D23" s="48">
        <f>D11-D22</f>
        <v/>
      </c>
      <c r="E23" s="48">
        <f>E11-E22</f>
        <v/>
      </c>
      <c r="F23" s="48">
        <f>F11-F22</f>
        <v/>
      </c>
      <c r="G23" s="48">
        <f>G11-G22</f>
        <v/>
      </c>
      <c r="H23" s="48">
        <f>H11-H22</f>
        <v/>
      </c>
      <c r="I23" s="48">
        <f>I11-I22</f>
        <v/>
      </c>
      <c r="J23" s="48">
        <f>J11-J22</f>
        <v/>
      </c>
    </row>
    <row r="24" ht="24" customHeight="1">
      <c r="A24" s="46" t="inlineStr">
        <is>
          <t>Other Income / (Expenses)</t>
        </is>
      </c>
      <c r="B24" s="46" t="inlineStr"/>
      <c r="C24" s="46" t="inlineStr"/>
      <c r="D24" s="46" t="inlineStr"/>
      <c r="E24" s="46" t="inlineStr"/>
      <c r="F24" s="46" t="inlineStr"/>
      <c r="G24" s="46" t="inlineStr"/>
      <c r="H24" s="46" t="inlineStr"/>
      <c r="I24" s="46" t="inlineStr"/>
      <c r="J24" s="46" t="inlineStr"/>
    </row>
    <row r="25" ht="24" customHeight="1">
      <c r="A25" s="47" t="inlineStr">
        <is>
          <t xml:space="preserve">  Gain on Sale of Real Estate</t>
        </is>
      </c>
      <c r="B25" s="48" t="n">
        <v>0</v>
      </c>
      <c r="C25" s="48" t="n">
        <v>0</v>
      </c>
      <c r="D25" s="48" t="n">
        <v>0</v>
      </c>
      <c r="E25" s="48" t="n">
        <v>0</v>
      </c>
      <c r="F25" s="48" t="n">
        <v>0</v>
      </c>
      <c r="G25" s="48" t="n">
        <v>0</v>
      </c>
      <c r="H25" s="48" t="n">
        <v>0</v>
      </c>
      <c r="I25" s="48" t="n">
        <v>40676.5</v>
      </c>
      <c r="J25" s="48" t="n">
        <v>40676.5</v>
      </c>
    </row>
    <row r="26" ht="24" customHeight="1">
      <c r="A26" s="47" t="inlineStr">
        <is>
          <t>Net Income</t>
        </is>
      </c>
      <c r="B26" s="48">
        <f>B23+B25</f>
        <v/>
      </c>
      <c r="C26" s="48">
        <f>C23+C25</f>
        <v/>
      </c>
      <c r="D26" s="48">
        <f>D23+D25</f>
        <v/>
      </c>
      <c r="E26" s="48">
        <f>E23+E25</f>
        <v/>
      </c>
      <c r="F26" s="48">
        <f>F23+F25</f>
        <v/>
      </c>
      <c r="G26" s="48">
        <f>G23+G25</f>
        <v/>
      </c>
      <c r="H26" s="48">
        <f>H23+H25</f>
        <v/>
      </c>
      <c r="I26" s="48">
        <f>I23+I25</f>
        <v/>
      </c>
      <c r="J26" s="48">
        <f>J23+J25</f>
        <v/>
      </c>
    </row>
    <row r="27">
      <c r="A27" s="50" t="inlineStr">
        <is>
          <t>*Note: The Property Sale column records transaction-specific entries on disposal (June 30, 2026).</t>
        </is>
      </c>
    </row>
    <row r="31">
      <c r="A31" s="3" t="inlineStr">
        <is>
          <t>BALANCE SHEET STATEMENT: 123 MAPLE STREET APARTMENTS</t>
        </is>
      </c>
    </row>
    <row r="32">
      <c r="A32" s="2" t="inlineStr">
        <is>
          <t>Comparison Pre-Sale vs. Post-Sale (Asset and Liability liquidations)</t>
        </is>
      </c>
    </row>
    <row r="34">
      <c r="A34" s="20" t="inlineStr">
        <is>
          <t>Account Name / Description</t>
        </is>
      </c>
      <c r="B34" s="20" t="inlineStr">
        <is>
          <t>As of May 31, 2026 (Pre-Sale)</t>
        </is>
      </c>
      <c r="C34" s="20" t="inlineStr">
        <is>
          <t>As of June 30, 2026 (Post-Sale)</t>
        </is>
      </c>
      <c r="D34" s="20" t="inlineStr">
        <is>
          <t>Specific Balance Sheet Ledger Notes</t>
        </is>
      </c>
    </row>
    <row r="36" ht="24" customHeight="1">
      <c r="A36" s="46" t="inlineStr">
        <is>
          <t>ASSETS</t>
        </is>
      </c>
      <c r="B36" s="46" t="inlineStr"/>
      <c r="C36" s="46" t="inlineStr"/>
      <c r="D36" s="46" t="inlineStr"/>
    </row>
    <row r="37" ht="24" customHeight="1">
      <c r="A37" s="46" t="inlineStr">
        <is>
          <t>Current Assets</t>
        </is>
      </c>
      <c r="B37" s="46" t="inlineStr"/>
      <c r="C37" s="46" t="inlineStr"/>
      <c r="D37" s="46" t="inlineStr"/>
    </row>
    <row r="38" ht="24" customHeight="1">
      <c r="A38" s="47" t="inlineStr">
        <is>
          <t xml:space="preserve">  Business Checking - Operating Cash</t>
        </is>
      </c>
      <c r="B38" s="48" t="n">
        <v>28224</v>
      </c>
      <c r="C38" s="48" t="n">
        <v>276684</v>
      </c>
      <c r="D38" s="47" t="inlineStr">
        <is>
          <t>Includes net operations cash, less owner draw, plus property sale proceeds</t>
        </is>
      </c>
    </row>
    <row r="39" ht="24" customHeight="1">
      <c r="A39" s="47" t="inlineStr">
        <is>
          <t xml:space="preserve">  Tenant Security Deposit Checking (Trust)</t>
        </is>
      </c>
      <c r="B39" s="48" t="n">
        <v>7200</v>
      </c>
      <c r="C39" s="48" t="n">
        <v>0</v>
      </c>
      <c r="D39" s="47" t="inlineStr">
        <is>
          <t>Segregated trust funds (fully refunded to tenants on sale date)</t>
        </is>
      </c>
    </row>
    <row r="40" ht="24" customHeight="1">
      <c r="A40" s="47" t="inlineStr">
        <is>
          <t xml:space="preserve">  Prepaid Insurance</t>
        </is>
      </c>
      <c r="B40" s="48" t="n">
        <v>1300</v>
      </c>
      <c r="C40" s="48" t="n">
        <v>0</v>
      </c>
      <c r="D40" s="47" t="inlineStr">
        <is>
          <t>Residual prepaid insurance is written off/credited on sale</t>
        </is>
      </c>
    </row>
    <row r="41" ht="24" customHeight="1">
      <c r="A41" s="37" t="inlineStr">
        <is>
          <t>Total Current Assets</t>
        </is>
      </c>
      <c r="B41" s="49">
        <f>SUM(B38:B40)</f>
        <v/>
      </c>
      <c r="C41" s="49">
        <f>SUM(C38:C40)</f>
        <v/>
      </c>
      <c r="D41" s="37" t="inlineStr">
        <is>
          <t>Total liquid current assets</t>
        </is>
      </c>
    </row>
    <row r="42" ht="24" customHeight="1">
      <c r="A42" s="47" t="inlineStr">
        <is>
          <t>Fixed Assets</t>
        </is>
      </c>
      <c r="B42" s="51" t="inlineStr"/>
      <c r="C42" s="51" t="inlineStr"/>
      <c r="D42" s="47" t="inlineStr"/>
    </row>
    <row r="43" ht="24" customHeight="1">
      <c r="A43" s="47" t="inlineStr">
        <is>
          <t xml:space="preserve">  123 Maple St - Property Purchase Price</t>
        </is>
      </c>
      <c r="B43" s="48" t="n">
        <v>850000</v>
      </c>
      <c r="C43" s="48" t="n">
        <v>0</v>
      </c>
      <c r="D43" s="47" t="inlineStr">
        <is>
          <t>Fixed Asset cost written off upon sale on June 30</t>
        </is>
      </c>
    </row>
    <row r="44" ht="24" customHeight="1">
      <c r="A44" s="47" t="inlineStr">
        <is>
          <t xml:space="preserve">  123 Maple St - Capitalized Acquisition Costs</t>
        </is>
      </c>
      <c r="B44" s="48" t="n">
        <v>11000</v>
      </c>
      <c r="C44" s="48" t="n">
        <v>0</v>
      </c>
      <c r="D44" s="47" t="inlineStr">
        <is>
          <t>Escrow capitalized fees written off upon sale</t>
        </is>
      </c>
    </row>
    <row r="45" ht="24" customHeight="1">
      <c r="A45" s="47" t="inlineStr">
        <is>
          <t xml:space="preserve">  123 Maple St - Accumulated Depreciation</t>
        </is>
      </c>
      <c r="B45" s="48" t="n">
        <v>-11676.5</v>
      </c>
      <c r="C45" s="48" t="n">
        <v>0</v>
      </c>
      <c r="D45" s="47" t="inlineStr">
        <is>
          <t>Contra-asset written off upon property sale</t>
        </is>
      </c>
    </row>
    <row r="46" ht="24" customHeight="1">
      <c r="A46" s="46" t="inlineStr">
        <is>
          <t>Total Fixed Assets</t>
        </is>
      </c>
      <c r="B46" s="46">
        <f>SUM(B43:B45)</f>
        <v/>
      </c>
      <c r="C46" s="46">
        <f>SUM(C43:C45)</f>
        <v/>
      </c>
      <c r="D46" s="46" t="inlineStr">
        <is>
          <t>Net Book Value of the property</t>
        </is>
      </c>
    </row>
    <row r="47" ht="24" customHeight="1">
      <c r="A47" s="47" t="inlineStr">
        <is>
          <t>TOTAL ASSETS</t>
        </is>
      </c>
      <c r="B47" s="48">
        <f>B41+B46</f>
        <v/>
      </c>
      <c r="C47" s="48">
        <f>C41+C46</f>
        <v/>
      </c>
      <c r="D47" s="47" t="inlineStr">
        <is>
          <t>Total Assets of the business</t>
        </is>
      </c>
    </row>
    <row r="48" ht="24" customHeight="1">
      <c r="A48" s="47" t="inlineStr">
        <is>
          <t>LIABILITIES &amp; EQUITY</t>
        </is>
      </c>
      <c r="B48" s="51" t="inlineStr"/>
      <c r="C48" s="51" t="inlineStr"/>
      <c r="D48" s="47" t="inlineStr"/>
    </row>
    <row r="49" ht="24" customHeight="1">
      <c r="A49" s="47" t="inlineStr">
        <is>
          <t>Current Liabilities</t>
        </is>
      </c>
      <c r="B49" s="51" t="inlineStr"/>
      <c r="C49" s="51" t="inlineStr"/>
      <c r="D49" s="47" t="inlineStr"/>
    </row>
    <row r="50" ht="24" customHeight="1">
      <c r="A50" s="37" t="inlineStr">
        <is>
          <t xml:space="preserve">  Tenant Security Deposits (Refundable)</t>
        </is>
      </c>
      <c r="B50" s="49" t="n">
        <v>7200</v>
      </c>
      <c r="C50" s="49" t="n">
        <v>0</v>
      </c>
      <c r="D50" s="37" t="inlineStr">
        <is>
          <t>Liability to tenants (fully paid out/cleared on June 30)</t>
        </is>
      </c>
    </row>
    <row r="51" ht="24" customHeight="1">
      <c r="A51" s="52" t="inlineStr">
        <is>
          <t xml:space="preserve">  Business Credit Card Liability</t>
        </is>
      </c>
      <c r="B51" s="53" t="n">
        <v>490</v>
      </c>
      <c r="C51" s="53" t="n">
        <v>0</v>
      </c>
      <c r="D51" s="52" t="inlineStr">
        <is>
          <t>Credit card balances paid in full on June 30</t>
        </is>
      </c>
    </row>
    <row r="52" ht="24" customHeight="1">
      <c r="A52" s="46" t="inlineStr">
        <is>
          <t>Total Current Liabilities</t>
        </is>
      </c>
      <c r="B52" s="46">
        <f>SUM(B50:B51)</f>
        <v/>
      </c>
      <c r="C52" s="46">
        <f>SUM(C50:C51)</f>
        <v/>
      </c>
      <c r="D52" s="46" t="inlineStr">
        <is>
          <t>Total current debts</t>
        </is>
      </c>
    </row>
    <row r="53" ht="24" customHeight="1">
      <c r="A53" s="46" t="inlineStr">
        <is>
          <t>Long-Term Liabilities</t>
        </is>
      </c>
      <c r="B53" s="46" t="inlineStr"/>
      <c r="C53" s="46" t="inlineStr"/>
      <c r="D53" s="46" t="inlineStr"/>
    </row>
    <row r="54" ht="24" customHeight="1">
      <c r="A54" s="47" t="inlineStr">
        <is>
          <t xml:space="preserve">  Mortgage Payable - Commercial Bank</t>
        </is>
      </c>
      <c r="B54" s="48" t="n">
        <v>634950</v>
      </c>
      <c r="C54" s="48" t="n">
        <v>0</v>
      </c>
      <c r="D54" s="47" t="inlineStr">
        <is>
          <t>Long term mortgage debt fully paid off at closing</t>
        </is>
      </c>
    </row>
    <row r="55" ht="24" customHeight="1">
      <c r="A55" s="47" t="inlineStr">
        <is>
          <t>Total Liabilities</t>
        </is>
      </c>
      <c r="B55" s="48">
        <f>B52+B54</f>
        <v/>
      </c>
      <c r="C55" s="48">
        <f>C52+C54</f>
        <v/>
      </c>
      <c r="D55" s="47" t="inlineStr">
        <is>
          <t>Total business debt outstanding</t>
        </is>
      </c>
    </row>
    <row r="56" ht="24" customHeight="1">
      <c r="A56" s="37" t="inlineStr">
        <is>
          <t>Equity</t>
        </is>
      </c>
      <c r="B56" s="38" t="inlineStr"/>
      <c r="C56" s="38" t="inlineStr"/>
      <c r="D56" s="37" t="inlineStr"/>
    </row>
    <row r="57" ht="24" customHeight="1">
      <c r="A57" s="46" t="inlineStr">
        <is>
          <t xml:space="preserve">  Owner's Capital Investment</t>
        </is>
      </c>
      <c r="B57" s="46" t="n">
        <v>240000</v>
      </c>
      <c r="C57" s="46" t="n">
        <v>240000</v>
      </c>
      <c r="D57" s="46" t="inlineStr">
        <is>
          <t>Initial owner seed money ($15k) + Cash to Close Contribution ($210k) + Earnest Money ($15k)</t>
        </is>
      </c>
    </row>
    <row r="58" ht="24" customHeight="1">
      <c r="A58" s="47" t="inlineStr">
        <is>
          <t xml:space="preserve">  Owner's Draw</t>
        </is>
      </c>
      <c r="B58" s="48" t="n">
        <v>0</v>
      </c>
      <c r="C58" s="48" t="n">
        <v>-5000</v>
      </c>
      <c r="D58" s="47" t="inlineStr">
        <is>
          <t>Cash payout made to the owner on June 30</t>
        </is>
      </c>
    </row>
    <row r="59" ht="24" customHeight="1">
      <c r="A59" s="37" t="inlineStr">
        <is>
          <t xml:space="preserve">  Retained Earnings</t>
        </is>
      </c>
      <c r="B59" s="49" t="n">
        <v>0</v>
      </c>
      <c r="C59" s="49" t="n">
        <v>0</v>
      </c>
      <c r="D59" s="37" t="inlineStr">
        <is>
          <t>Prior retained earnings is 0 as this is Year 1</t>
        </is>
      </c>
    </row>
    <row r="60" ht="24" customHeight="1">
      <c r="A60" s="46" t="inlineStr">
        <is>
          <t xml:space="preserve">  Current Net Profit / (Loss)</t>
        </is>
      </c>
      <c r="B60" s="46" t="n">
        <v>3407.5</v>
      </c>
      <c r="C60" s="46" t="n">
        <v>41684</v>
      </c>
      <c r="D60" s="46" t="inlineStr">
        <is>
          <t>Retained Net Income from the Profit &amp; Loss statement</t>
        </is>
      </c>
    </row>
    <row r="61" ht="24" customHeight="1">
      <c r="A61" s="47" t="inlineStr">
        <is>
          <t>Total Equity</t>
        </is>
      </c>
      <c r="B61" s="48">
        <f>SUM(B57:B60)</f>
        <v/>
      </c>
      <c r="C61" s="48">
        <f>SUM(C57:C60)</f>
        <v/>
      </c>
      <c r="D61" s="47" t="inlineStr">
        <is>
          <t>Owner's capital equity basis</t>
        </is>
      </c>
    </row>
    <row r="62" ht="24" customHeight="1">
      <c r="A62" s="47" t="inlineStr">
        <is>
          <t>TOTAL LIABILITIES &amp; EQUITY</t>
        </is>
      </c>
      <c r="B62" s="48">
        <f>B55+B61</f>
        <v/>
      </c>
      <c r="C62" s="48">
        <f>C55+C61</f>
        <v/>
      </c>
      <c r="D62" s="47" t="inlineStr">
        <is>
          <t>Must equal TOTAL ASSETS!</t>
        </is>
      </c>
    </row>
    <row r="63" ht="24" customHeight="1">
      <c r="A63" s="47" t="inlineStr">
        <is>
          <t>Balance Sheet Check (Assets - Liab - Eq)</t>
        </is>
      </c>
      <c r="B63" s="48">
        <f>B47-B62</f>
        <v/>
      </c>
      <c r="C63" s="48">
        <f>C47-C62</f>
        <v/>
      </c>
      <c r="D63" s="47" t="inlineStr">
        <is>
          <t>Must equal 0.00 (Balanced check)</t>
        </is>
      </c>
    </row>
  </sheetData>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D10"/>
  <sheetViews>
    <sheetView showGridLines="1" workbookViewId="0">
      <selection activeCell="A1" sqref="A1"/>
    </sheetView>
  </sheetViews>
  <sheetFormatPr baseColWidth="8" defaultRowHeight="15"/>
  <cols>
    <col width="32" customWidth="1" min="1" max="1"/>
    <col width="45" customWidth="1" min="2" max="2"/>
    <col width="20" customWidth="1" min="3" max="3"/>
    <col width="65" customWidth="1" min="4" max="4"/>
  </cols>
  <sheetData>
    <row r="1">
      <c r="A1" s="19" t="inlineStr">
        <is>
          <t>Real Estate Key Performance Indicators (KPIs)</t>
        </is>
      </c>
    </row>
    <row r="2">
      <c r="A2" s="2" t="inlineStr">
        <is>
          <t>These standard real estate metrics measure the performance of 123 Maple Street Apartments based on operations.</t>
        </is>
      </c>
    </row>
    <row r="4">
      <c r="A4" s="20" t="inlineStr">
        <is>
          <t>KPI Metric</t>
        </is>
      </c>
      <c r="B4" s="20" t="inlineStr">
        <is>
          <t>Formula / Definition</t>
        </is>
      </c>
      <c r="C4" s="20" t="inlineStr">
        <is>
          <t>Calculated Value</t>
        </is>
      </c>
      <c r="D4" s="20" t="inlineStr">
        <is>
          <t>Industry Benchmarks &amp; Strategic Insight</t>
        </is>
      </c>
    </row>
    <row r="5">
      <c r="A5" s="54" t="inlineStr">
        <is>
          <t>Net Operating Income (NOI)</t>
        </is>
      </c>
      <c r="B5" s="22" t="inlineStr">
        <is>
          <t>Revenues - Operating Expenses (excl. Debt &amp; Depreciation)</t>
        </is>
      </c>
      <c r="C5" s="55">
        <f>'Target Financial Reports'!H11 - ('Target Financial Reports'!H22 - 'Target Financial Reports'!H18 - 'Target Financial Reports'!H21)</f>
        <v/>
      </c>
      <c r="D5" s="23" t="inlineStr">
        <is>
          <t>Measures the operational profitability of the property before financing or taxes. The lifeblood of real estate valuation.</t>
        </is>
      </c>
    </row>
    <row r="6">
      <c r="A6" s="56" t="inlineStr">
        <is>
          <t>Capitalization Rate (Cap Rate)</t>
        </is>
      </c>
      <c r="B6" s="9" t="inlineStr">
        <is>
          <t>Annualized NOI / Purchase Price</t>
        </is>
      </c>
      <c r="C6" s="57">
        <f> ( ('Target Financial Reports'!H11 - ('Target Financial Reports'!H22 - 'Target Financial Reports'!H18 - 'Target Financial Reports'!H21)) * 2 ) / 'Property Acquisition &amp; Sale'!B6</f>
        <v/>
      </c>
      <c r="D6" s="25" t="inlineStr">
        <is>
          <t>The unlevered rate of return on the property. Higher Cap Rates (6-8%) represent better operational returns relative to asset cost.</t>
        </is>
      </c>
    </row>
    <row r="7">
      <c r="A7" s="54" t="inlineStr">
        <is>
          <t>Cash-on-Cash Return (CoC)</t>
        </is>
      </c>
      <c r="B7" s="22" t="inlineStr">
        <is>
          <t>Annualized Cash Flow / Initial Equity Invested</t>
        </is>
      </c>
      <c r="C7" s="57">
        <f> ( ( ('Target Financial Reports'!H11 - ('Target Financial Reports'!H22 - 'Target Financial Reports'!H21)) - 5050 ) * 2 ) / 'Target Financial Reports'!B58</f>
        <v/>
      </c>
      <c r="D7" s="23" t="inlineStr">
        <is>
          <t>Measures cash return on cash invested. Cash Flow here is Operating Income minus debt payments, annualized, over initial cash down payment.</t>
        </is>
      </c>
    </row>
    <row r="8">
      <c r="A8" s="56" t="inlineStr">
        <is>
          <t>Debt Service Coverage Ratio (DSCR)</t>
        </is>
      </c>
      <c r="B8" s="9" t="inlineStr">
        <is>
          <t>NOI / Annual Debt Service (Principal + Interest)</t>
        </is>
      </c>
      <c r="C8" s="58">
        <f> ('Target Financial Reports'!H11 - ('Target Financial Reports'!H22 - 'Target Financial Reports'!H18 - 'Target Financial Reports'!H21)) / ( 'Target Financial Reports'!H18 + 5050 )</f>
        <v/>
      </c>
      <c r="D8" s="25" t="inlineStr">
        <is>
          <t>Lenders look for a DSCR &gt; 1.25 to ensure the property generates enough income to safely cover mortgage payments. Principal paid was $5,050.</t>
        </is>
      </c>
    </row>
    <row r="9">
      <c r="A9" s="54" t="inlineStr">
        <is>
          <t>Operating Expense Ratio (OER)</t>
        </is>
      </c>
      <c r="B9" s="22" t="inlineStr">
        <is>
          <t>Total Operating Expenses / Gross Revenues</t>
        </is>
      </c>
      <c r="C9" s="57">
        <f> ('Target Financial Reports'!H22 - 'Target Financial Reports'!H18 - 'Target Financial Reports'!H21) / 'Target Financial Reports'!H11</f>
        <v/>
      </c>
      <c r="D9" s="23" t="inlineStr">
        <is>
          <t>Measures operating efficiency. Standard OER ranges from 35% to 50%. A lower OER indicates highly efficient property management.</t>
        </is>
      </c>
    </row>
    <row r="10">
      <c r="A10" s="56" t="inlineStr">
        <is>
          <t>Gross Rent Multiplier (GRM)</t>
        </is>
      </c>
      <c r="B10" s="9" t="inlineStr">
        <is>
          <t>Purchase Price / Annual Gross Rent</t>
        </is>
      </c>
      <c r="C10" s="59">
        <f> 'Property Acquisition &amp; Sale'!B6 / ('Target Financial Reports'!H9 * 2)</f>
        <v/>
      </c>
      <c r="D10" s="25" t="inlineStr">
        <is>
          <t>A quick metric for property comparison. Lower GRM indicates a more attractive price relative to gross income potential.</t>
        </is>
      </c>
    </row>
  </sheetData>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2026-09-06T14:50:00Z</dcterms:created>
  <dcterms:modified xmlns:dcterms="http://purl.org/dc/terms/" xmlns:xsi="http://www.w3.org/2001/XMLSchema-instance" xsi:type="dcterms:W3CDTF">2026-09-06T14:50:00Z</dcterms:modified>
</cp:coreProperties>
</file>